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4240" windowHeight="13740" activeTab="4"/>
  </bookViews>
  <sheets>
    <sheet name="Data" sheetId="1" r:id="rId1"/>
    <sheet name="Sheet1" sheetId="2" r:id="rId2"/>
    <sheet name="Sheet5" sheetId="6" r:id="rId3"/>
    <sheet name="Sheet4" sheetId="5" r:id="rId4"/>
    <sheet name="ROSELINE'S SHEET" sheetId="4" r:id="rId5"/>
  </sheets>
  <definedNames>
    <definedName name="Table1">Sheet1!$A$1:$U$482</definedName>
  </definedNames>
  <calcPr calcId="152511"/>
  <pivotCaches>
    <pivotCache cacheId="3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X3" i="2" s="1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W23" i="2"/>
  <c r="X23" i="2" s="1"/>
  <c r="W24" i="2"/>
  <c r="X24" i="2" s="1"/>
  <c r="W25" i="2"/>
  <c r="X25" i="2" s="1"/>
  <c r="W26" i="2"/>
  <c r="X26" i="2" s="1"/>
  <c r="W27" i="2"/>
  <c r="X27" i="2" s="1"/>
  <c r="W28" i="2"/>
  <c r="X28" i="2" s="1"/>
  <c r="W29" i="2"/>
  <c r="X29" i="2" s="1"/>
  <c r="W30" i="2"/>
  <c r="X30" i="2" s="1"/>
  <c r="W31" i="2"/>
  <c r="X31" i="2" s="1"/>
  <c r="W32" i="2"/>
  <c r="X32" i="2" s="1"/>
  <c r="W33" i="2"/>
  <c r="X33" i="2" s="1"/>
  <c r="W34" i="2"/>
  <c r="X34" i="2" s="1"/>
  <c r="W35" i="2"/>
  <c r="X35" i="2" s="1"/>
  <c r="W36" i="2"/>
  <c r="X36" i="2" s="1"/>
  <c r="W37" i="2"/>
  <c r="X37" i="2" s="1"/>
  <c r="W38" i="2"/>
  <c r="X38" i="2" s="1"/>
  <c r="W39" i="2"/>
  <c r="X39" i="2" s="1"/>
  <c r="W40" i="2"/>
  <c r="X40" i="2" s="1"/>
  <c r="W41" i="2"/>
  <c r="X41" i="2" s="1"/>
  <c r="W42" i="2"/>
  <c r="X42" i="2" s="1"/>
  <c r="W43" i="2"/>
  <c r="X43" i="2" s="1"/>
  <c r="W44" i="2"/>
  <c r="X44" i="2" s="1"/>
  <c r="W45" i="2"/>
  <c r="X45" i="2" s="1"/>
  <c r="W46" i="2"/>
  <c r="X46" i="2" s="1"/>
  <c r="W47" i="2"/>
  <c r="X47" i="2" s="1"/>
  <c r="W48" i="2"/>
  <c r="X48" i="2" s="1"/>
  <c r="W49" i="2"/>
  <c r="X49" i="2" s="1"/>
  <c r="W50" i="2"/>
  <c r="X50" i="2" s="1"/>
  <c r="W51" i="2"/>
  <c r="X51" i="2" s="1"/>
  <c r="W52" i="2"/>
  <c r="X52" i="2" s="1"/>
  <c r="W53" i="2"/>
  <c r="X53" i="2" s="1"/>
  <c r="W54" i="2"/>
  <c r="X54" i="2" s="1"/>
  <c r="W55" i="2"/>
  <c r="X55" i="2" s="1"/>
  <c r="W56" i="2"/>
  <c r="X56" i="2" s="1"/>
  <c r="W57" i="2"/>
  <c r="X57" i="2" s="1"/>
  <c r="W58" i="2"/>
  <c r="X58" i="2" s="1"/>
  <c r="W59" i="2"/>
  <c r="X59" i="2" s="1"/>
  <c r="W60" i="2"/>
  <c r="X60" i="2" s="1"/>
  <c r="W61" i="2"/>
  <c r="X61" i="2" s="1"/>
  <c r="W62" i="2"/>
  <c r="X62" i="2" s="1"/>
  <c r="W63" i="2"/>
  <c r="X63" i="2" s="1"/>
  <c r="W64" i="2"/>
  <c r="X64" i="2" s="1"/>
  <c r="W65" i="2"/>
  <c r="X65" i="2" s="1"/>
  <c r="W66" i="2"/>
  <c r="X66" i="2" s="1"/>
  <c r="W67" i="2"/>
  <c r="X67" i="2" s="1"/>
  <c r="W68" i="2"/>
  <c r="X68" i="2" s="1"/>
  <c r="W69" i="2"/>
  <c r="X69" i="2" s="1"/>
  <c r="W70" i="2"/>
  <c r="X70" i="2" s="1"/>
  <c r="W71" i="2"/>
  <c r="X71" i="2" s="1"/>
  <c r="W72" i="2"/>
  <c r="X72" i="2" s="1"/>
  <c r="W73" i="2"/>
  <c r="X73" i="2" s="1"/>
  <c r="W74" i="2"/>
  <c r="X74" i="2" s="1"/>
  <c r="W75" i="2"/>
  <c r="X75" i="2" s="1"/>
  <c r="W76" i="2"/>
  <c r="X76" i="2" s="1"/>
  <c r="W77" i="2"/>
  <c r="X77" i="2" s="1"/>
  <c r="W78" i="2"/>
  <c r="X78" i="2" s="1"/>
  <c r="W79" i="2"/>
  <c r="X79" i="2" s="1"/>
  <c r="W80" i="2"/>
  <c r="X80" i="2" s="1"/>
  <c r="W81" i="2"/>
  <c r="X81" i="2" s="1"/>
  <c r="W82" i="2"/>
  <c r="X82" i="2" s="1"/>
  <c r="W83" i="2"/>
  <c r="X83" i="2" s="1"/>
  <c r="W84" i="2"/>
  <c r="X84" i="2" s="1"/>
  <c r="W85" i="2"/>
  <c r="X85" i="2" s="1"/>
  <c r="W86" i="2"/>
  <c r="X86" i="2" s="1"/>
  <c r="W87" i="2"/>
  <c r="X87" i="2" s="1"/>
  <c r="W88" i="2"/>
  <c r="X88" i="2" s="1"/>
  <c r="W89" i="2"/>
  <c r="X89" i="2" s="1"/>
  <c r="W90" i="2"/>
  <c r="X90" i="2" s="1"/>
  <c r="W91" i="2"/>
  <c r="X91" i="2" s="1"/>
  <c r="W92" i="2"/>
  <c r="X92" i="2" s="1"/>
  <c r="W93" i="2"/>
  <c r="X93" i="2" s="1"/>
  <c r="W94" i="2"/>
  <c r="X94" i="2" s="1"/>
  <c r="W95" i="2"/>
  <c r="X95" i="2" s="1"/>
  <c r="W96" i="2"/>
  <c r="X96" i="2" s="1"/>
  <c r="W97" i="2"/>
  <c r="X97" i="2" s="1"/>
  <c r="W98" i="2"/>
  <c r="X98" i="2" s="1"/>
  <c r="W99" i="2"/>
  <c r="X99" i="2" s="1"/>
  <c r="W100" i="2"/>
  <c r="X100" i="2" s="1"/>
  <c r="W101" i="2"/>
  <c r="X101" i="2" s="1"/>
  <c r="W102" i="2"/>
  <c r="X102" i="2" s="1"/>
  <c r="W103" i="2"/>
  <c r="X103" i="2" s="1"/>
  <c r="W104" i="2"/>
  <c r="X104" i="2" s="1"/>
  <c r="W105" i="2"/>
  <c r="X105" i="2" s="1"/>
  <c r="W106" i="2"/>
  <c r="X106" i="2" s="1"/>
  <c r="W107" i="2"/>
  <c r="X107" i="2" s="1"/>
  <c r="W108" i="2"/>
  <c r="X108" i="2" s="1"/>
  <c r="W109" i="2"/>
  <c r="X109" i="2" s="1"/>
  <c r="W110" i="2"/>
  <c r="X110" i="2" s="1"/>
  <c r="W111" i="2"/>
  <c r="X111" i="2" s="1"/>
  <c r="W112" i="2"/>
  <c r="X112" i="2" s="1"/>
  <c r="W113" i="2"/>
  <c r="X113" i="2" s="1"/>
  <c r="W114" i="2"/>
  <c r="X114" i="2" s="1"/>
  <c r="W115" i="2"/>
  <c r="X115" i="2" s="1"/>
  <c r="W116" i="2"/>
  <c r="X116" i="2" s="1"/>
  <c r="W117" i="2"/>
  <c r="X117" i="2" s="1"/>
  <c r="W118" i="2"/>
  <c r="X118" i="2" s="1"/>
  <c r="W119" i="2"/>
  <c r="X119" i="2" s="1"/>
  <c r="W120" i="2"/>
  <c r="X120" i="2" s="1"/>
  <c r="W121" i="2"/>
  <c r="X121" i="2" s="1"/>
  <c r="W122" i="2"/>
  <c r="X122" i="2" s="1"/>
  <c r="W123" i="2"/>
  <c r="X123" i="2" s="1"/>
  <c r="W124" i="2"/>
  <c r="X124" i="2" s="1"/>
  <c r="W125" i="2"/>
  <c r="X125" i="2" s="1"/>
  <c r="W126" i="2"/>
  <c r="X126" i="2" s="1"/>
  <c r="W127" i="2"/>
  <c r="X127" i="2" s="1"/>
  <c r="W128" i="2"/>
  <c r="X128" i="2" s="1"/>
  <c r="W129" i="2"/>
  <c r="X129" i="2" s="1"/>
  <c r="W130" i="2"/>
  <c r="X130" i="2" s="1"/>
  <c r="W131" i="2"/>
  <c r="X131" i="2" s="1"/>
  <c r="W132" i="2"/>
  <c r="X132" i="2" s="1"/>
  <c r="W133" i="2"/>
  <c r="X133" i="2" s="1"/>
  <c r="W134" i="2"/>
  <c r="X134" i="2" s="1"/>
  <c r="W135" i="2"/>
  <c r="X135" i="2" s="1"/>
  <c r="W136" i="2"/>
  <c r="X136" i="2" s="1"/>
  <c r="W137" i="2"/>
  <c r="X137" i="2" s="1"/>
  <c r="W138" i="2"/>
  <c r="X138" i="2" s="1"/>
  <c r="W139" i="2"/>
  <c r="X139" i="2" s="1"/>
  <c r="W140" i="2"/>
  <c r="X140" i="2" s="1"/>
  <c r="W141" i="2"/>
  <c r="X141" i="2" s="1"/>
  <c r="W142" i="2"/>
  <c r="X142" i="2" s="1"/>
  <c r="W143" i="2"/>
  <c r="X143" i="2" s="1"/>
  <c r="W144" i="2"/>
  <c r="X144" i="2" s="1"/>
  <c r="W145" i="2"/>
  <c r="X145" i="2" s="1"/>
  <c r="W146" i="2"/>
  <c r="X146" i="2" s="1"/>
  <c r="W147" i="2"/>
  <c r="X147" i="2" s="1"/>
  <c r="W148" i="2"/>
  <c r="X148" i="2" s="1"/>
  <c r="W149" i="2"/>
  <c r="X149" i="2" s="1"/>
  <c r="W150" i="2"/>
  <c r="X150" i="2" s="1"/>
  <c r="W151" i="2"/>
  <c r="X151" i="2" s="1"/>
  <c r="W152" i="2"/>
  <c r="X152" i="2" s="1"/>
  <c r="W153" i="2"/>
  <c r="X153" i="2" s="1"/>
  <c r="W154" i="2"/>
  <c r="X154" i="2" s="1"/>
  <c r="W155" i="2"/>
  <c r="X155" i="2" s="1"/>
  <c r="W156" i="2"/>
  <c r="X156" i="2" s="1"/>
  <c r="W157" i="2"/>
  <c r="X157" i="2" s="1"/>
  <c r="W158" i="2"/>
  <c r="X158" i="2" s="1"/>
  <c r="W159" i="2"/>
  <c r="X159" i="2" s="1"/>
  <c r="W160" i="2"/>
  <c r="X160" i="2" s="1"/>
  <c r="W161" i="2"/>
  <c r="X161" i="2" s="1"/>
  <c r="W162" i="2"/>
  <c r="X162" i="2" s="1"/>
  <c r="W163" i="2"/>
  <c r="X163" i="2" s="1"/>
  <c r="W164" i="2"/>
  <c r="X164" i="2" s="1"/>
  <c r="W165" i="2"/>
  <c r="X165" i="2" s="1"/>
  <c r="W166" i="2"/>
  <c r="X166" i="2" s="1"/>
  <c r="W167" i="2"/>
  <c r="X167" i="2" s="1"/>
  <c r="W168" i="2"/>
  <c r="X168" i="2" s="1"/>
  <c r="W169" i="2"/>
  <c r="X169" i="2" s="1"/>
  <c r="W170" i="2"/>
  <c r="X170" i="2" s="1"/>
  <c r="W171" i="2"/>
  <c r="X171" i="2" s="1"/>
  <c r="W172" i="2"/>
  <c r="X172" i="2" s="1"/>
  <c r="W173" i="2"/>
  <c r="X173" i="2" s="1"/>
  <c r="W174" i="2"/>
  <c r="X174" i="2" s="1"/>
  <c r="W175" i="2"/>
  <c r="X175" i="2" s="1"/>
  <c r="W176" i="2"/>
  <c r="X176" i="2" s="1"/>
  <c r="W177" i="2"/>
  <c r="X177" i="2" s="1"/>
  <c r="W178" i="2"/>
  <c r="X178" i="2" s="1"/>
  <c r="W179" i="2"/>
  <c r="X179" i="2" s="1"/>
  <c r="W180" i="2"/>
  <c r="X180" i="2" s="1"/>
  <c r="W181" i="2"/>
  <c r="X181" i="2" s="1"/>
  <c r="W182" i="2"/>
  <c r="X182" i="2" s="1"/>
  <c r="W183" i="2"/>
  <c r="X183" i="2" s="1"/>
  <c r="W184" i="2"/>
  <c r="X184" i="2" s="1"/>
  <c r="W185" i="2"/>
  <c r="X185" i="2" s="1"/>
  <c r="W186" i="2"/>
  <c r="X186" i="2" s="1"/>
  <c r="W187" i="2"/>
  <c r="X187" i="2" s="1"/>
  <c r="W188" i="2"/>
  <c r="X188" i="2" s="1"/>
  <c r="W189" i="2"/>
  <c r="X189" i="2" s="1"/>
  <c r="W190" i="2"/>
  <c r="X190" i="2" s="1"/>
  <c r="W191" i="2"/>
  <c r="X191" i="2" s="1"/>
  <c r="W192" i="2"/>
  <c r="X192" i="2" s="1"/>
  <c r="W193" i="2"/>
  <c r="X193" i="2" s="1"/>
  <c r="W194" i="2"/>
  <c r="X194" i="2" s="1"/>
  <c r="W195" i="2"/>
  <c r="X195" i="2" s="1"/>
  <c r="W196" i="2"/>
  <c r="X196" i="2" s="1"/>
  <c r="W197" i="2"/>
  <c r="X197" i="2" s="1"/>
  <c r="W198" i="2"/>
  <c r="X198" i="2" s="1"/>
  <c r="W199" i="2"/>
  <c r="X199" i="2" s="1"/>
  <c r="W200" i="2"/>
  <c r="X200" i="2" s="1"/>
  <c r="W201" i="2"/>
  <c r="X201" i="2" s="1"/>
  <c r="W202" i="2"/>
  <c r="X202" i="2" s="1"/>
  <c r="W203" i="2"/>
  <c r="X203" i="2" s="1"/>
  <c r="W204" i="2"/>
  <c r="X204" i="2" s="1"/>
  <c r="W205" i="2"/>
  <c r="X205" i="2" s="1"/>
  <c r="W206" i="2"/>
  <c r="X206" i="2" s="1"/>
  <c r="W207" i="2"/>
  <c r="X207" i="2" s="1"/>
  <c r="W208" i="2"/>
  <c r="X208" i="2" s="1"/>
  <c r="W209" i="2"/>
  <c r="X209" i="2" s="1"/>
  <c r="W210" i="2"/>
  <c r="X210" i="2" s="1"/>
  <c r="W211" i="2"/>
  <c r="X211" i="2" s="1"/>
  <c r="W212" i="2"/>
  <c r="X212" i="2" s="1"/>
  <c r="W213" i="2"/>
  <c r="X213" i="2" s="1"/>
  <c r="W214" i="2"/>
  <c r="X214" i="2" s="1"/>
  <c r="W215" i="2"/>
  <c r="X215" i="2" s="1"/>
  <c r="W216" i="2"/>
  <c r="X216" i="2" s="1"/>
  <c r="W217" i="2"/>
  <c r="X217" i="2" s="1"/>
  <c r="W218" i="2"/>
  <c r="X218" i="2" s="1"/>
  <c r="W219" i="2"/>
  <c r="X219" i="2" s="1"/>
  <c r="W220" i="2"/>
  <c r="X220" i="2" s="1"/>
  <c r="W221" i="2"/>
  <c r="X221" i="2" s="1"/>
  <c r="W222" i="2"/>
  <c r="X222" i="2" s="1"/>
  <c r="W223" i="2"/>
  <c r="X223" i="2" s="1"/>
  <c r="W224" i="2"/>
  <c r="X224" i="2" s="1"/>
  <c r="W225" i="2"/>
  <c r="X225" i="2" s="1"/>
  <c r="W226" i="2"/>
  <c r="X226" i="2" s="1"/>
  <c r="W227" i="2"/>
  <c r="X227" i="2" s="1"/>
  <c r="W228" i="2"/>
  <c r="X228" i="2" s="1"/>
  <c r="W229" i="2"/>
  <c r="X229" i="2" s="1"/>
  <c r="W230" i="2"/>
  <c r="X230" i="2" s="1"/>
  <c r="W231" i="2"/>
  <c r="X231" i="2" s="1"/>
  <c r="W232" i="2"/>
  <c r="X232" i="2" s="1"/>
  <c r="W233" i="2"/>
  <c r="X233" i="2" s="1"/>
  <c r="W234" i="2"/>
  <c r="X234" i="2" s="1"/>
  <c r="W235" i="2"/>
  <c r="X235" i="2" s="1"/>
  <c r="W236" i="2"/>
  <c r="X236" i="2" s="1"/>
  <c r="W237" i="2"/>
  <c r="X237" i="2" s="1"/>
  <c r="W238" i="2"/>
  <c r="X238" i="2" s="1"/>
  <c r="W239" i="2"/>
  <c r="X239" i="2" s="1"/>
  <c r="W240" i="2"/>
  <c r="X240" i="2" s="1"/>
  <c r="W241" i="2"/>
  <c r="X241" i="2" s="1"/>
  <c r="W242" i="2"/>
  <c r="X242" i="2" s="1"/>
  <c r="W243" i="2"/>
  <c r="X243" i="2" s="1"/>
  <c r="W244" i="2"/>
  <c r="X244" i="2" s="1"/>
  <c r="W245" i="2"/>
  <c r="X245" i="2" s="1"/>
  <c r="W246" i="2"/>
  <c r="X246" i="2" s="1"/>
  <c r="W247" i="2"/>
  <c r="X247" i="2" s="1"/>
  <c r="W248" i="2"/>
  <c r="X248" i="2" s="1"/>
  <c r="W249" i="2"/>
  <c r="X249" i="2" s="1"/>
  <c r="W250" i="2"/>
  <c r="X250" i="2" s="1"/>
  <c r="W251" i="2"/>
  <c r="X251" i="2" s="1"/>
  <c r="W252" i="2"/>
  <c r="X252" i="2" s="1"/>
  <c r="W253" i="2"/>
  <c r="X253" i="2" s="1"/>
  <c r="W254" i="2"/>
  <c r="X254" i="2" s="1"/>
  <c r="W255" i="2"/>
  <c r="X255" i="2" s="1"/>
  <c r="W256" i="2"/>
  <c r="X256" i="2" s="1"/>
  <c r="W257" i="2"/>
  <c r="X257" i="2" s="1"/>
  <c r="W258" i="2"/>
  <c r="X258" i="2" s="1"/>
  <c r="W259" i="2"/>
  <c r="X259" i="2" s="1"/>
  <c r="W260" i="2"/>
  <c r="X260" i="2" s="1"/>
  <c r="W261" i="2"/>
  <c r="X261" i="2" s="1"/>
  <c r="W262" i="2"/>
  <c r="X262" i="2" s="1"/>
  <c r="W263" i="2"/>
  <c r="X263" i="2" s="1"/>
  <c r="W264" i="2"/>
  <c r="X264" i="2" s="1"/>
  <c r="W265" i="2"/>
  <c r="X265" i="2" s="1"/>
  <c r="W266" i="2"/>
  <c r="X266" i="2" s="1"/>
  <c r="W267" i="2"/>
  <c r="X267" i="2" s="1"/>
  <c r="W268" i="2"/>
  <c r="X268" i="2" s="1"/>
  <c r="W269" i="2"/>
  <c r="X269" i="2" s="1"/>
  <c r="W270" i="2"/>
  <c r="X270" i="2" s="1"/>
  <c r="W271" i="2"/>
  <c r="X271" i="2" s="1"/>
  <c r="W272" i="2"/>
  <c r="X272" i="2" s="1"/>
  <c r="W273" i="2"/>
  <c r="X273" i="2" s="1"/>
  <c r="W274" i="2"/>
  <c r="X274" i="2" s="1"/>
  <c r="W275" i="2"/>
  <c r="X275" i="2" s="1"/>
  <c r="W276" i="2"/>
  <c r="X276" i="2" s="1"/>
  <c r="W277" i="2"/>
  <c r="X277" i="2" s="1"/>
  <c r="W278" i="2"/>
  <c r="X278" i="2" s="1"/>
  <c r="W279" i="2"/>
  <c r="X279" i="2" s="1"/>
  <c r="W280" i="2"/>
  <c r="X280" i="2" s="1"/>
  <c r="W281" i="2"/>
  <c r="X281" i="2" s="1"/>
  <c r="W282" i="2"/>
  <c r="X282" i="2" s="1"/>
  <c r="W283" i="2"/>
  <c r="X283" i="2" s="1"/>
  <c r="W284" i="2"/>
  <c r="X284" i="2" s="1"/>
  <c r="W285" i="2"/>
  <c r="X285" i="2" s="1"/>
  <c r="W286" i="2"/>
  <c r="X286" i="2" s="1"/>
  <c r="W287" i="2"/>
  <c r="X287" i="2" s="1"/>
  <c r="W288" i="2"/>
  <c r="X288" i="2" s="1"/>
  <c r="W289" i="2"/>
  <c r="X289" i="2" s="1"/>
  <c r="W290" i="2"/>
  <c r="X290" i="2" s="1"/>
  <c r="W291" i="2"/>
  <c r="X291" i="2" s="1"/>
  <c r="W292" i="2"/>
  <c r="X292" i="2" s="1"/>
  <c r="W293" i="2"/>
  <c r="X293" i="2" s="1"/>
  <c r="W294" i="2"/>
  <c r="X294" i="2" s="1"/>
  <c r="W295" i="2"/>
  <c r="X295" i="2" s="1"/>
  <c r="W296" i="2"/>
  <c r="X296" i="2" s="1"/>
  <c r="W297" i="2"/>
  <c r="X297" i="2" s="1"/>
  <c r="W298" i="2"/>
  <c r="X298" i="2" s="1"/>
  <c r="W299" i="2"/>
  <c r="X299" i="2" s="1"/>
  <c r="W300" i="2"/>
  <c r="X300" i="2" s="1"/>
  <c r="W301" i="2"/>
  <c r="X301" i="2" s="1"/>
  <c r="W302" i="2"/>
  <c r="X302" i="2" s="1"/>
  <c r="W303" i="2"/>
  <c r="X303" i="2" s="1"/>
  <c r="W304" i="2"/>
  <c r="X304" i="2" s="1"/>
  <c r="W305" i="2"/>
  <c r="X305" i="2" s="1"/>
  <c r="W306" i="2"/>
  <c r="X306" i="2" s="1"/>
  <c r="W307" i="2"/>
  <c r="X307" i="2" s="1"/>
  <c r="W308" i="2"/>
  <c r="X308" i="2" s="1"/>
  <c r="W309" i="2"/>
  <c r="X309" i="2" s="1"/>
  <c r="W310" i="2"/>
  <c r="X310" i="2" s="1"/>
  <c r="W311" i="2"/>
  <c r="X311" i="2" s="1"/>
  <c r="W312" i="2"/>
  <c r="X312" i="2" s="1"/>
  <c r="W313" i="2"/>
  <c r="X313" i="2" s="1"/>
  <c r="W314" i="2"/>
  <c r="X314" i="2" s="1"/>
  <c r="W315" i="2"/>
  <c r="X315" i="2" s="1"/>
  <c r="W316" i="2"/>
  <c r="X316" i="2" s="1"/>
  <c r="W317" i="2"/>
  <c r="X317" i="2" s="1"/>
  <c r="W318" i="2"/>
  <c r="X318" i="2" s="1"/>
  <c r="W319" i="2"/>
  <c r="X319" i="2" s="1"/>
  <c r="W320" i="2"/>
  <c r="X320" i="2" s="1"/>
  <c r="W321" i="2"/>
  <c r="X321" i="2" s="1"/>
  <c r="W322" i="2"/>
  <c r="X322" i="2" s="1"/>
  <c r="W323" i="2"/>
  <c r="X323" i="2" s="1"/>
  <c r="W324" i="2"/>
  <c r="X324" i="2" s="1"/>
  <c r="W325" i="2"/>
  <c r="X325" i="2" s="1"/>
  <c r="W326" i="2"/>
  <c r="X326" i="2" s="1"/>
  <c r="W327" i="2"/>
  <c r="X327" i="2" s="1"/>
  <c r="W328" i="2"/>
  <c r="X328" i="2" s="1"/>
  <c r="W329" i="2"/>
  <c r="X329" i="2" s="1"/>
  <c r="W330" i="2"/>
  <c r="X330" i="2" s="1"/>
  <c r="W331" i="2"/>
  <c r="X331" i="2" s="1"/>
  <c r="W332" i="2"/>
  <c r="X332" i="2" s="1"/>
  <c r="W333" i="2"/>
  <c r="X333" i="2" s="1"/>
  <c r="W334" i="2"/>
  <c r="X334" i="2" s="1"/>
  <c r="W335" i="2"/>
  <c r="X335" i="2" s="1"/>
  <c r="W336" i="2"/>
  <c r="X336" i="2" s="1"/>
  <c r="W337" i="2"/>
  <c r="X337" i="2" s="1"/>
  <c r="W338" i="2"/>
  <c r="X338" i="2" s="1"/>
  <c r="W339" i="2"/>
  <c r="X339" i="2" s="1"/>
  <c r="W340" i="2"/>
  <c r="X340" i="2" s="1"/>
  <c r="W341" i="2"/>
  <c r="X341" i="2" s="1"/>
  <c r="W342" i="2"/>
  <c r="X342" i="2" s="1"/>
  <c r="W343" i="2"/>
  <c r="X343" i="2" s="1"/>
  <c r="W344" i="2"/>
  <c r="X344" i="2" s="1"/>
  <c r="W345" i="2"/>
  <c r="X345" i="2" s="1"/>
  <c r="W346" i="2"/>
  <c r="X346" i="2" s="1"/>
  <c r="W347" i="2"/>
  <c r="X347" i="2" s="1"/>
  <c r="W348" i="2"/>
  <c r="X348" i="2" s="1"/>
  <c r="W349" i="2"/>
  <c r="X349" i="2" s="1"/>
  <c r="W350" i="2"/>
  <c r="X350" i="2" s="1"/>
  <c r="W351" i="2"/>
  <c r="X351" i="2" s="1"/>
  <c r="W352" i="2"/>
  <c r="X352" i="2" s="1"/>
  <c r="W353" i="2"/>
  <c r="X353" i="2" s="1"/>
  <c r="W354" i="2"/>
  <c r="X354" i="2" s="1"/>
  <c r="W355" i="2"/>
  <c r="X355" i="2" s="1"/>
  <c r="W356" i="2"/>
  <c r="X356" i="2" s="1"/>
  <c r="W357" i="2"/>
  <c r="X357" i="2" s="1"/>
  <c r="W358" i="2"/>
  <c r="X358" i="2" s="1"/>
  <c r="W359" i="2"/>
  <c r="X359" i="2" s="1"/>
  <c r="W360" i="2"/>
  <c r="X360" i="2" s="1"/>
  <c r="W361" i="2"/>
  <c r="X361" i="2" s="1"/>
  <c r="W362" i="2"/>
  <c r="X362" i="2" s="1"/>
  <c r="W363" i="2"/>
  <c r="X363" i="2" s="1"/>
  <c r="W364" i="2"/>
  <c r="X364" i="2" s="1"/>
  <c r="W365" i="2"/>
  <c r="X365" i="2" s="1"/>
  <c r="W366" i="2"/>
  <c r="X366" i="2" s="1"/>
  <c r="W367" i="2"/>
  <c r="X367" i="2" s="1"/>
  <c r="W368" i="2"/>
  <c r="X368" i="2" s="1"/>
  <c r="W369" i="2"/>
  <c r="X369" i="2" s="1"/>
  <c r="W370" i="2"/>
  <c r="X370" i="2" s="1"/>
  <c r="W371" i="2"/>
  <c r="X371" i="2" s="1"/>
  <c r="W372" i="2"/>
  <c r="X372" i="2" s="1"/>
  <c r="W373" i="2"/>
  <c r="X373" i="2" s="1"/>
  <c r="W374" i="2"/>
  <c r="X374" i="2" s="1"/>
  <c r="W375" i="2"/>
  <c r="X375" i="2" s="1"/>
  <c r="W376" i="2"/>
  <c r="X376" i="2" s="1"/>
  <c r="W377" i="2"/>
  <c r="X377" i="2" s="1"/>
  <c r="W378" i="2"/>
  <c r="X378" i="2" s="1"/>
  <c r="W379" i="2"/>
  <c r="X379" i="2" s="1"/>
  <c r="W380" i="2"/>
  <c r="X380" i="2" s="1"/>
  <c r="W381" i="2"/>
  <c r="X381" i="2" s="1"/>
  <c r="W382" i="2"/>
  <c r="X382" i="2" s="1"/>
  <c r="W383" i="2"/>
  <c r="X383" i="2" s="1"/>
  <c r="W384" i="2"/>
  <c r="X384" i="2" s="1"/>
  <c r="W385" i="2"/>
  <c r="X385" i="2" s="1"/>
  <c r="W386" i="2"/>
  <c r="X386" i="2" s="1"/>
  <c r="W387" i="2"/>
  <c r="X387" i="2" s="1"/>
  <c r="W388" i="2"/>
  <c r="X388" i="2" s="1"/>
  <c r="W389" i="2"/>
  <c r="X389" i="2" s="1"/>
  <c r="W390" i="2"/>
  <c r="X390" i="2" s="1"/>
  <c r="W391" i="2"/>
  <c r="X391" i="2" s="1"/>
  <c r="W392" i="2"/>
  <c r="X392" i="2" s="1"/>
  <c r="W393" i="2"/>
  <c r="X393" i="2" s="1"/>
  <c r="W394" i="2"/>
  <c r="X394" i="2" s="1"/>
  <c r="W395" i="2"/>
  <c r="X395" i="2" s="1"/>
  <c r="W396" i="2"/>
  <c r="X396" i="2" s="1"/>
  <c r="W397" i="2"/>
  <c r="X397" i="2" s="1"/>
  <c r="W398" i="2"/>
  <c r="X398" i="2" s="1"/>
  <c r="W399" i="2"/>
  <c r="X399" i="2" s="1"/>
  <c r="W400" i="2"/>
  <c r="X400" i="2" s="1"/>
  <c r="W401" i="2"/>
  <c r="X401" i="2" s="1"/>
  <c r="W402" i="2"/>
  <c r="X402" i="2" s="1"/>
  <c r="W403" i="2"/>
  <c r="X403" i="2" s="1"/>
  <c r="W404" i="2"/>
  <c r="X404" i="2" s="1"/>
  <c r="W405" i="2"/>
  <c r="X405" i="2" s="1"/>
  <c r="W406" i="2"/>
  <c r="X406" i="2" s="1"/>
  <c r="W407" i="2"/>
  <c r="X407" i="2" s="1"/>
  <c r="W408" i="2"/>
  <c r="X408" i="2" s="1"/>
  <c r="W409" i="2"/>
  <c r="X409" i="2" s="1"/>
  <c r="W410" i="2"/>
  <c r="X410" i="2" s="1"/>
  <c r="W411" i="2"/>
  <c r="X411" i="2" s="1"/>
  <c r="W412" i="2"/>
  <c r="X412" i="2" s="1"/>
  <c r="W413" i="2"/>
  <c r="X413" i="2" s="1"/>
  <c r="W414" i="2"/>
  <c r="X414" i="2" s="1"/>
  <c r="W415" i="2"/>
  <c r="X415" i="2" s="1"/>
  <c r="W416" i="2"/>
  <c r="X416" i="2" s="1"/>
  <c r="W417" i="2"/>
  <c r="X417" i="2" s="1"/>
  <c r="W418" i="2"/>
  <c r="X418" i="2" s="1"/>
  <c r="W419" i="2"/>
  <c r="X419" i="2" s="1"/>
  <c r="W420" i="2"/>
  <c r="X420" i="2" s="1"/>
  <c r="W421" i="2"/>
  <c r="X421" i="2" s="1"/>
  <c r="W422" i="2"/>
  <c r="X422" i="2" s="1"/>
  <c r="W423" i="2"/>
  <c r="X423" i="2" s="1"/>
  <c r="W424" i="2"/>
  <c r="X424" i="2" s="1"/>
  <c r="W425" i="2"/>
  <c r="X425" i="2" s="1"/>
  <c r="W426" i="2"/>
  <c r="X426" i="2" s="1"/>
  <c r="W427" i="2"/>
  <c r="X427" i="2" s="1"/>
  <c r="W428" i="2"/>
  <c r="X428" i="2" s="1"/>
  <c r="W429" i="2"/>
  <c r="X429" i="2" s="1"/>
  <c r="W430" i="2"/>
  <c r="X430" i="2" s="1"/>
  <c r="W431" i="2"/>
  <c r="X431" i="2" s="1"/>
  <c r="W432" i="2"/>
  <c r="X432" i="2" s="1"/>
  <c r="W433" i="2"/>
  <c r="X433" i="2" s="1"/>
  <c r="W434" i="2"/>
  <c r="X434" i="2" s="1"/>
  <c r="W435" i="2"/>
  <c r="X435" i="2" s="1"/>
  <c r="W436" i="2"/>
  <c r="X436" i="2" s="1"/>
  <c r="W437" i="2"/>
  <c r="X437" i="2" s="1"/>
  <c r="W438" i="2"/>
  <c r="X438" i="2" s="1"/>
  <c r="W439" i="2"/>
  <c r="X439" i="2" s="1"/>
  <c r="W440" i="2"/>
  <c r="X440" i="2" s="1"/>
  <c r="W441" i="2"/>
  <c r="X441" i="2" s="1"/>
  <c r="W442" i="2"/>
  <c r="X442" i="2" s="1"/>
  <c r="W443" i="2"/>
  <c r="X443" i="2" s="1"/>
  <c r="W444" i="2"/>
  <c r="X444" i="2" s="1"/>
  <c r="W445" i="2"/>
  <c r="X445" i="2" s="1"/>
  <c r="W446" i="2"/>
  <c r="X446" i="2" s="1"/>
  <c r="W447" i="2"/>
  <c r="X447" i="2" s="1"/>
  <c r="W448" i="2"/>
  <c r="X448" i="2" s="1"/>
  <c r="W449" i="2"/>
  <c r="X449" i="2" s="1"/>
  <c r="W450" i="2"/>
  <c r="X450" i="2" s="1"/>
  <c r="W451" i="2"/>
  <c r="X451" i="2" s="1"/>
  <c r="W452" i="2"/>
  <c r="X452" i="2" s="1"/>
  <c r="W453" i="2"/>
  <c r="X453" i="2" s="1"/>
  <c r="W454" i="2"/>
  <c r="X454" i="2" s="1"/>
  <c r="W455" i="2"/>
  <c r="X455" i="2" s="1"/>
  <c r="W456" i="2"/>
  <c r="X456" i="2" s="1"/>
  <c r="W457" i="2"/>
  <c r="X457" i="2" s="1"/>
  <c r="W458" i="2"/>
  <c r="X458" i="2" s="1"/>
  <c r="W459" i="2"/>
  <c r="X459" i="2" s="1"/>
  <c r="W460" i="2"/>
  <c r="X460" i="2" s="1"/>
  <c r="W461" i="2"/>
  <c r="X461" i="2" s="1"/>
  <c r="W462" i="2"/>
  <c r="X462" i="2" s="1"/>
  <c r="W463" i="2"/>
  <c r="X463" i="2" s="1"/>
  <c r="W464" i="2"/>
  <c r="X464" i="2" s="1"/>
  <c r="W465" i="2"/>
  <c r="X465" i="2" s="1"/>
  <c r="W466" i="2"/>
  <c r="X466" i="2" s="1"/>
  <c r="W467" i="2"/>
  <c r="X467" i="2" s="1"/>
  <c r="W468" i="2"/>
  <c r="X468" i="2" s="1"/>
  <c r="W469" i="2"/>
  <c r="X469" i="2" s="1"/>
  <c r="W470" i="2"/>
  <c r="X470" i="2" s="1"/>
  <c r="W471" i="2"/>
  <c r="X471" i="2" s="1"/>
  <c r="W472" i="2"/>
  <c r="X472" i="2" s="1"/>
  <c r="W473" i="2"/>
  <c r="X473" i="2" s="1"/>
  <c r="W474" i="2"/>
  <c r="X474" i="2" s="1"/>
  <c r="W475" i="2"/>
  <c r="X475" i="2" s="1"/>
  <c r="W476" i="2"/>
  <c r="X476" i="2" s="1"/>
  <c r="W2" i="2"/>
  <c r="X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2" i="2"/>
</calcChain>
</file>

<file path=xl/sharedStrings.xml><?xml version="1.0" encoding="utf-8"?>
<sst xmlns="http://schemas.openxmlformats.org/spreadsheetml/2006/main" count="9490" uniqueCount="2498">
  <si>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</si>
  <si>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</si>
  <si>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</si>
  <si>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</si>
  <si>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</si>
  <si>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</si>
  <si>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</si>
  <si>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</si>
  <si>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</si>
  <si>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</si>
  <si>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</si>
  <si>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</si>
  <si>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</si>
  <si>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</si>
  <si>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</si>
  <si>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</si>
  <si>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</si>
  <si>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</si>
  <si>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</si>
  <si>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</si>
  <si>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</si>
  <si>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</si>
  <si>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</si>
  <si>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</si>
  <si>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</si>
  <si>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</si>
  <si>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</si>
  <si>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</si>
  <si>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</si>
  <si>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</si>
  <si>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</si>
  <si>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</si>
  <si>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</si>
  <si>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</si>
  <si>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</si>
  <si>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</si>
  <si>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</si>
  <si>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</si>
  <si>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</si>
  <si>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</si>
  <si>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</si>
  <si>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</si>
  <si>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</si>
  <si>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</si>
  <si>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</si>
  <si>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</si>
  <si>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</si>
  <si>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</si>
  <si>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</si>
  <si>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</si>
  <si>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</si>
  <si>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</si>
  <si>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</si>
  <si>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</si>
  <si>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</si>
  <si>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</si>
  <si>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</si>
  <si>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</si>
  <si>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</si>
  <si>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</si>
  <si>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</si>
  <si>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</si>
  <si>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</si>
  <si>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</si>
  <si>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</si>
  <si>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</si>
  <si>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</si>
  <si>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</si>
  <si>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</si>
  <si>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</si>
  <si>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</si>
  <si>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</si>
  <si>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</si>
  <si>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</si>
  <si>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</si>
  <si>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</si>
  <si>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</si>
  <si>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</si>
  <si>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</si>
  <si>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</si>
  <si>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</si>
  <si>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</si>
  <si>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</si>
  <si>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</si>
  <si>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</si>
  <si>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</si>
  <si>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</si>
  <si>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</si>
  <si>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</si>
  <si>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</si>
  <si>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</si>
  <si>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</si>
  <si>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</si>
  <si>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</si>
  <si>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</si>
  <si>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</si>
  <si>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</si>
  <si>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</si>
  <si>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</si>
  <si>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</si>
  <si>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</si>
  <si>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</si>
  <si>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</si>
  <si>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</si>
  <si>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</si>
  <si>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</si>
  <si>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</si>
  <si>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</si>
  <si>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</si>
  <si>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</si>
  <si>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</si>
  <si>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</si>
  <si>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</si>
  <si>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</si>
  <si>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</si>
  <si>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</si>
  <si>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</si>
  <si>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</si>
  <si>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</si>
  <si>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</si>
  <si>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</si>
  <si>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</si>
  <si>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</si>
  <si>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</si>
  <si>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</si>
  <si>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</si>
  <si>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</si>
  <si>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</si>
  <si>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</si>
  <si>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</si>
  <si>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</si>
  <si>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</si>
  <si>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</si>
  <si>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</si>
  <si>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</si>
  <si>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</si>
  <si>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</si>
  <si>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</si>
  <si>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</si>
  <si>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</si>
  <si>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</si>
  <si>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</si>
  <si>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</si>
  <si>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</si>
  <si>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</si>
  <si>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</si>
  <si>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</si>
  <si>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</si>
  <si>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</si>
  <si>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</si>
  <si>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</si>
  <si>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</si>
  <si>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</si>
  <si>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</si>
  <si>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</si>
  <si>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</si>
  <si>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</si>
  <si>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</si>
  <si>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</si>
  <si>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</si>
  <si>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</si>
  <si>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</si>
  <si>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</si>
  <si>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</si>
  <si>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</si>
  <si>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</si>
  <si>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</si>
  <si>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</si>
  <si>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</si>
  <si>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</si>
  <si>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</si>
  <si>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</si>
  <si>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</si>
  <si>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</si>
  <si>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</si>
  <si>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</si>
  <si>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</si>
  <si>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</si>
  <si>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</si>
  <si>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</si>
  <si>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</si>
  <si>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</si>
  <si>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</si>
  <si>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</si>
  <si>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</si>
  <si>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</si>
  <si>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</si>
  <si>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</si>
  <si>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</si>
  <si>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</si>
  <si>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</si>
  <si>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</si>
  <si>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</si>
  <si>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</si>
  <si>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</si>
  <si>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</si>
  <si>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</si>
  <si>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</si>
  <si>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</si>
  <si>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</si>
  <si>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</si>
  <si>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</si>
  <si>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</si>
  <si>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</si>
  <si>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</si>
  <si>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</si>
  <si>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</si>
  <si>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</si>
  <si>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</si>
  <si>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</si>
  <si>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</si>
  <si>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</si>
  <si>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</si>
  <si>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</si>
  <si>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</si>
  <si>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</si>
  <si>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</si>
  <si>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</si>
  <si>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</si>
  <si>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</si>
  <si>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</si>
  <si>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</si>
  <si>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</si>
  <si>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</si>
  <si>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</si>
  <si>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</si>
  <si>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</si>
  <si>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</si>
  <si>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</si>
  <si>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</si>
  <si>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</si>
  <si>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</si>
  <si>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</si>
  <si>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</si>
  <si>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</si>
  <si>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</si>
  <si>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</si>
  <si>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</si>
  <si>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</si>
  <si>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</si>
  <si>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</si>
  <si>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</si>
  <si>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</si>
  <si>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</si>
  <si>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</si>
  <si>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</si>
  <si>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</si>
  <si>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</si>
  <si>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</si>
  <si>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</si>
  <si>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</si>
  <si>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</si>
  <si>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</si>
  <si>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</si>
  <si>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</si>
  <si>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</si>
  <si>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</si>
  <si>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</si>
  <si>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</si>
  <si>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</si>
  <si>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</si>
  <si>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</si>
  <si>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</si>
  <si>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</si>
  <si>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</si>
  <si>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</si>
  <si>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</si>
  <si>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</si>
  <si>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</si>
  <si>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</si>
  <si>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</si>
  <si>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</si>
  <si>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</si>
  <si>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</si>
  <si>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</si>
  <si>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</si>
  <si>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</si>
  <si>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</si>
  <si>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</si>
  <si>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</si>
  <si>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</si>
  <si>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</si>
  <si>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</si>
  <si>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</si>
  <si>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</si>
  <si>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</si>
  <si>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</si>
  <si>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</si>
  <si>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</si>
  <si>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</si>
  <si>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</si>
  <si>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</si>
  <si>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</si>
  <si>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</si>
  <si>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</si>
  <si>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</si>
  <si>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</si>
  <si>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</si>
  <si>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</si>
  <si>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</si>
  <si>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</si>
  <si>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</si>
  <si>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</si>
  <si>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</si>
  <si>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</si>
  <si>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</si>
  <si>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</si>
  <si>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</si>
  <si>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</si>
  <si>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</si>
  <si>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</si>
  <si>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</si>
  <si>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</si>
  <si>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</si>
  <si>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</si>
  <si>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</si>
  <si>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</si>
  <si>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</si>
  <si>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</si>
  <si>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</si>
  <si>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</si>
  <si>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</si>
  <si>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</si>
  <si>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</si>
  <si>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</si>
  <si>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</si>
  <si>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</si>
  <si>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</si>
  <si>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</si>
  <si>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</si>
  <si>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</si>
  <si>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</si>
  <si>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</si>
  <si>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</si>
  <si>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</si>
  <si>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</si>
  <si>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</si>
  <si>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</si>
  <si>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</si>
  <si>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</si>
  <si>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</si>
  <si>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</si>
  <si>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</si>
  <si>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</si>
  <si>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</si>
  <si>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</si>
  <si>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</si>
  <si>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</si>
  <si>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</si>
  <si>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</si>
  <si>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</si>
  <si>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</si>
  <si>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</si>
  <si>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</si>
  <si>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</si>
  <si>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</si>
  <si>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</si>
  <si>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</si>
  <si>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</si>
  <si>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</si>
  <si>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</si>
  <si>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</si>
  <si>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</si>
  <si>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</si>
  <si>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</si>
  <si>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</si>
  <si>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</si>
  <si>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</si>
  <si>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</si>
  <si>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</si>
  <si>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</si>
  <si>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</si>
  <si>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</si>
  <si>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</si>
  <si>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</si>
  <si>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</si>
  <si>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</si>
  <si>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</si>
  <si>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</si>
  <si>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</si>
  <si>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</si>
  <si>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</si>
  <si>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</si>
  <si>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</si>
  <si>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</si>
  <si>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</si>
  <si>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</si>
  <si>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</si>
  <si>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</si>
  <si>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</si>
  <si>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</si>
  <si>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</si>
  <si>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</si>
  <si>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</si>
  <si>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</si>
  <si>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</si>
  <si>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</si>
  <si>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</si>
  <si>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</si>
  <si>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</si>
  <si>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</si>
  <si>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</si>
  <si>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</si>
  <si>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</si>
  <si>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</si>
  <si>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</si>
  <si>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</si>
  <si>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</si>
  <si>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</si>
  <si>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</si>
  <si>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</si>
  <si>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</si>
  <si>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</si>
  <si>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</si>
  <si>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</si>
  <si>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</si>
  <si>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</si>
  <si>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</si>
  <si>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</si>
  <si>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</si>
  <si>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</si>
  <si>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</si>
  <si>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</si>
  <si>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</si>
  <si>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</si>
  <si>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</si>
  <si>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</si>
  <si>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</si>
  <si>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</si>
  <si>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</si>
  <si>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</si>
  <si>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</si>
  <si>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</si>
  <si>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</si>
  <si>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</si>
  <si>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</si>
  <si>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</si>
  <si>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</si>
  <si>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</si>
  <si>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</si>
  <si>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</si>
  <si>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</si>
  <si>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</si>
  <si>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</si>
  <si>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</si>
  <si>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</si>
  <si>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</si>
  <si>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</si>
  <si>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</si>
  <si>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</si>
  <si>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</si>
  <si>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</si>
  <si>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</si>
  <si>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</si>
  <si>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</si>
  <si>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</si>
  <si>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</si>
  <si>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</si>
  <si>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</si>
  <si>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</si>
  <si>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</si>
  <si>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</si>
  <si>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</si>
  <si>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</si>
  <si>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</si>
  <si>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</si>
  <si>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</si>
  <si>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</si>
  <si>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</si>
  <si>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</si>
  <si>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</si>
  <si>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</si>
  <si>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</si>
  <si>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</si>
  <si>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</si>
  <si>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</si>
  <si>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</si>
  <si>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</si>
  <si>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</si>
  <si>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</si>
  <si>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</si>
  <si>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</si>
  <si>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</si>
  <si>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</si>
  <si>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</si>
  <si>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</si>
  <si>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</si>
  <si>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</si>
  <si>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</si>
  <si>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</si>
  <si>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</si>
  <si>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</si>
  <si>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</si>
  <si>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</si>
  <si>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</si>
  <si>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</si>
  <si>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</si>
  <si>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</si>
  <si>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</si>
  <si>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</si>
  <si>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</si>
  <si>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</si>
  <si>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</si>
  <si>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</si>
  <si>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</si>
  <si>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</si>
  <si>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</si>
  <si>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</si>
  <si>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</si>
  <si>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</si>
  <si>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</si>
  <si>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</si>
  <si>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</si>
  <si>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</si>
  <si>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</si>
  <si>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</si>
  <si>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</si>
  <si>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</si>
  <si>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</si>
  <si>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</si>
  <si>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</si>
  <si>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</si>
  <si>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</si>
  <si>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</si>
  <si>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</si>
  <si>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</si>
  <si>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</si>
  <si>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</si>
  <si>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</si>
  <si>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</si>
  <si>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</si>
  <si>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</si>
  <si>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</si>
  <si>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</si>
  <si>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</si>
  <si>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</si>
  <si>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</si>
  <si>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</si>
  <si>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</si>
  <si>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</si>
  <si>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</si>
  <si>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</si>
  <si>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</si>
  <si>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</si>
  <si>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</si>
  <si>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</si>
  <si>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</si>
  <si>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</si>
  <si>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</si>
  <si>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</si>
  <si>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</si>
  <si>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</si>
  <si>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</si>
  <si>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</si>
  <si>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</si>
  <si>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</si>
  <si>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</si>
  <si>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</si>
  <si>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</si>
  <si>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</si>
  <si>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</si>
  <si>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</si>
  <si>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</si>
  <si>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</si>
  <si>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</si>
  <si>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</si>
  <si>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</si>
  <si>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</si>
  <si>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</si>
  <si>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</si>
  <si>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</si>
  <si>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</si>
  <si>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</si>
  <si>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</si>
  <si>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</si>
  <si>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</si>
  <si>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</si>
  <si>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</si>
  <si>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</si>
  <si>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</si>
  <si>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</si>
  <si>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</si>
  <si>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</si>
  <si>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</si>
  <si>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</si>
  <si>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</si>
  <si>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</si>
  <si>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</si>
  <si>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</si>
  <si>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</si>
  <si>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</si>
  <si>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</si>
  <si>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</si>
  <si>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</si>
  <si>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</si>
  <si>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</si>
  <si>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</si>
  <si>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</si>
  <si>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</si>
  <si>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</si>
  <si>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</si>
  <si>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</si>
  <si>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</si>
  <si>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</si>
  <si>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</si>
  <si>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</si>
  <si>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</si>
  <si>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</si>
  <si>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</si>
  <si>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</si>
  <si>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</si>
  <si>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</si>
  <si>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</si>
  <si>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</si>
  <si>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</si>
  <si>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</si>
  <si>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</si>
  <si>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</si>
  <si>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</si>
  <si>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</si>
  <si>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</si>
  <si>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</si>
  <si>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</si>
  <si>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</si>
  <si>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</si>
  <si>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</si>
  <si>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</si>
  <si>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</si>
  <si>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</si>
  <si>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</si>
  <si>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</si>
  <si>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</si>
  <si>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</si>
  <si>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</si>
  <si>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</si>
  <si>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</si>
  <si>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</si>
  <si>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</si>
  <si>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</si>
  <si>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</si>
  <si>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</si>
  <si>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</si>
  <si>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</si>
  <si>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</si>
  <si>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</si>
  <si>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</si>
  <si>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</si>
  <si>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</si>
  <si>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</si>
  <si>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</si>
  <si>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</si>
  <si>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</si>
  <si>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</si>
  <si>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</si>
  <si>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</si>
  <si>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</si>
  <si>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</si>
  <si>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</si>
  <si>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</si>
  <si>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</si>
  <si>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</si>
  <si>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</si>
  <si>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</si>
  <si>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</si>
  <si>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</si>
  <si>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</si>
  <si>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</si>
  <si>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</si>
  <si>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</si>
  <si>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</si>
  <si>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</si>
  <si>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</si>
  <si>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</si>
  <si>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</si>
  <si>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</si>
  <si>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</si>
  <si>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</si>
  <si>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</si>
  <si>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</si>
  <si>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</si>
  <si>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</si>
  <si>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</si>
  <si>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</si>
  <si>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</si>
  <si>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</si>
  <si>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</si>
  <si>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</si>
  <si>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</si>
  <si>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</si>
  <si>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</si>
  <si>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</si>
  <si>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</si>
  <si>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</si>
  <si>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</si>
  <si>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</si>
  <si>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</si>
  <si>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</si>
  <si>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</si>
  <si>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</si>
  <si>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</si>
  <si>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</si>
  <si>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</si>
  <si>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</si>
  <si>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</si>
  <si>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</si>
  <si>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</si>
  <si>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</si>
  <si>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</si>
  <si>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</si>
  <si>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</si>
  <si>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</si>
  <si>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</si>
  <si>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</si>
  <si>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</si>
  <si>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</si>
  <si>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</si>
  <si>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</si>
  <si>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</si>
  <si>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</si>
  <si>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</si>
  <si>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</si>
  <si>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</si>
  <si>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</si>
  <si>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</si>
  <si>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</si>
  <si>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</si>
  <si>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</si>
  <si>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</si>
  <si>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</si>
  <si>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</si>
  <si>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</si>
  <si>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</si>
  <si>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</si>
  <si>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</si>
  <si>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</si>
  <si>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</si>
  <si>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</si>
  <si>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</si>
  <si>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</si>
  <si>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</si>
  <si>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</si>
  <si>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</si>
  <si>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</si>
  <si>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</si>
  <si>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</si>
  <si>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</si>
  <si>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</si>
  <si>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</si>
  <si>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</si>
  <si>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</si>
  <si>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</si>
  <si>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</si>
  <si>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</si>
  <si>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</si>
  <si>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</si>
  <si>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</si>
  <si>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</si>
  <si>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</si>
  <si>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</si>
  <si>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</si>
  <si>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</si>
  <si>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</si>
  <si>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</si>
  <si>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</si>
  <si>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</si>
  <si>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</si>
  <si>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</si>
  <si>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</si>
  <si>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</si>
  <si>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</si>
  <si>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</si>
  <si>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</si>
  <si>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</si>
  <si>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</si>
  <si>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</si>
  <si>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</si>
  <si>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</si>
  <si>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</si>
  <si>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</si>
  <si>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</si>
  <si>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</si>
  <si>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</si>
  <si>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</si>
  <si>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</si>
  <si>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</si>
  <si>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</si>
  <si>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</si>
  <si>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</si>
  <si>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</si>
  <si>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</si>
  <si>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</si>
  <si>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</si>
  <si>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</si>
  <si>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</si>
  <si>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</si>
  <si>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</si>
  <si>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</si>
  <si>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</si>
  <si>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</si>
  <si>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</si>
  <si>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</si>
  <si>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</si>
  <si>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</si>
  <si>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</si>
  <si>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</si>
  <si>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</si>
  <si>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</si>
  <si>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</si>
  <si>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</si>
  <si>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</si>
  <si>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</si>
  <si>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</si>
  <si>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</si>
  <si>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</si>
  <si>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</si>
  <si>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</si>
  <si>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</si>
  <si>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</si>
  <si>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</si>
  <si>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</si>
  <si>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</si>
  <si>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</si>
  <si>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</si>
  <si>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</si>
  <si>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</si>
  <si>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</si>
  <si>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</si>
  <si>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</si>
  <si>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</si>
  <si>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</si>
  <si>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</si>
  <si>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</si>
  <si>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</si>
  <si>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</si>
  <si>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</si>
  <si>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</si>
  <si>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</si>
  <si>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</si>
  <si>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</si>
  <si>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</si>
  <si>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</si>
  <si>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</si>
  <si>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</si>
  <si>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</si>
  <si>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</si>
  <si>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</si>
  <si>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</si>
  <si>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</si>
  <si>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</si>
  <si>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</si>
  <si>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</si>
  <si>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</si>
  <si>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</si>
  <si>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</si>
  <si>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</si>
  <si>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</si>
  <si>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</si>
  <si>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</si>
  <si>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</si>
  <si>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</si>
  <si>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</si>
  <si>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</si>
  <si>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</si>
  <si>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</si>
  <si>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</si>
  <si>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</si>
  <si>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</si>
  <si>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</si>
  <si>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</si>
  <si>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</si>
  <si>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</si>
  <si>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</si>
  <si>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</si>
  <si>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</si>
  <si>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</si>
  <si>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</si>
  <si>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</si>
  <si>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</si>
  <si>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</si>
  <si>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</si>
  <si>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</si>
  <si>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</si>
  <si>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</si>
  <si>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</si>
  <si>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</si>
  <si>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</si>
  <si>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</si>
  <si>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</si>
  <si>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</si>
  <si>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</si>
  <si>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</si>
  <si>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</si>
  <si>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</si>
  <si>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</si>
  <si>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</si>
  <si>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</si>
  <si>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</si>
  <si>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</si>
  <si>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</si>
  <si>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</si>
  <si>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</si>
  <si>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</si>
  <si>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</si>
  <si>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</si>
  <si>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</si>
  <si>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</si>
  <si>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</si>
  <si>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</si>
  <si>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</si>
  <si>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</si>
  <si>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</si>
  <si>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</si>
  <si>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</si>
  <si>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</si>
  <si>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</si>
  <si>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</si>
  <si>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</si>
  <si>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</si>
  <si>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</si>
  <si>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</si>
  <si>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</si>
  <si>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</si>
  <si>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</si>
  <si>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</si>
  <si>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</si>
  <si>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</si>
  <si>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</si>
  <si>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</si>
  <si>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</si>
  <si>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</si>
  <si>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</si>
  <si>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</si>
  <si>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</si>
  <si>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</si>
  <si>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</si>
  <si>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</si>
  <si>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</si>
  <si>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</si>
  <si>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</si>
  <si>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</si>
  <si>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</si>
  <si>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</si>
  <si>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</si>
  <si>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</si>
  <si>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</si>
  <si>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</si>
  <si>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</si>
  <si>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</si>
  <si>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</si>
  <si>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</si>
  <si>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</si>
  <si>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</si>
  <si>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</si>
  <si>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</si>
  <si>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</si>
  <si>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</si>
  <si>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</si>
  <si>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</si>
  <si>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</si>
  <si>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</si>
  <si>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</si>
  <si>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</si>
  <si>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</si>
  <si>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</si>
  <si>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</si>
  <si>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</si>
  <si>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</si>
  <si>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</si>
  <si>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</si>
  <si>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</si>
  <si>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</si>
  <si>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</si>
  <si>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</si>
  <si>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</si>
  <si>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</si>
  <si>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</si>
  <si>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</si>
  <si>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</si>
  <si>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</si>
  <si>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</si>
  <si>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</si>
  <si>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</si>
  <si>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</si>
  <si>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</si>
  <si>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</si>
  <si>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</si>
  <si>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</si>
  <si>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</si>
  <si>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</si>
  <si>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</si>
  <si>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</si>
  <si>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</si>
  <si>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</si>
  <si>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</si>
  <si>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</si>
  <si>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</si>
  <si>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</si>
  <si>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</si>
  <si>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</si>
  <si>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</si>
  <si>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</si>
  <si>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</si>
  <si>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</si>
  <si>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</si>
  <si>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</si>
  <si>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</si>
  <si>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</si>
  <si>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</si>
  <si>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</si>
  <si>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</si>
  <si>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</si>
  <si>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</si>
  <si>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</si>
  <si>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</si>
  <si>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</si>
  <si>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</si>
  <si>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</si>
  <si>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</si>
  <si>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</si>
  <si>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</si>
  <si>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</si>
  <si>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</si>
  <si>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</si>
  <si>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</si>
  <si>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</si>
  <si>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</si>
  <si>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</si>
  <si>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</si>
  <si>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</si>
  <si>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</si>
  <si>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</si>
  <si>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</si>
  <si>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</si>
  <si>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</si>
  <si>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</si>
  <si>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</si>
  <si>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</si>
  <si>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</si>
  <si>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</si>
  <si>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</si>
  <si>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</si>
  <si>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</si>
  <si>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</si>
  <si>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</si>
  <si>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</si>
  <si>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</si>
  <si>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</si>
  <si>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</si>
  <si>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</si>
  <si>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</si>
  <si>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</si>
  <si>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</si>
  <si>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</si>
  <si>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</si>
  <si>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</si>
  <si>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</si>
  <si>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</si>
  <si>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</si>
  <si>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</si>
  <si>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</si>
  <si>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</si>
  <si>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</si>
  <si>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</si>
  <si>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</si>
  <si>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</si>
  <si>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</si>
  <si>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</si>
  <si>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</si>
  <si>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</si>
  <si>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</si>
  <si>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</si>
  <si>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</si>
  <si>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</si>
  <si>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</si>
  <si>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</si>
  <si>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</si>
  <si>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</si>
  <si>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</si>
  <si>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</si>
  <si>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</si>
  <si>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</si>
  <si>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</si>
  <si>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</si>
  <si>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</si>
  <si>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</si>
  <si>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</si>
  <si>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</si>
  <si>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</si>
  <si>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</si>
  <si>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</si>
  <si>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</si>
  <si>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</si>
  <si>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</si>
  <si>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</si>
  <si>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</si>
  <si>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</si>
  <si>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</si>
  <si>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</si>
  <si>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</si>
  <si>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</si>
  <si>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</si>
  <si>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</si>
  <si>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</si>
  <si>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</si>
  <si>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</si>
  <si>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</si>
  <si>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</si>
  <si>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</si>
  <si>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</si>
  <si>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</si>
  <si>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</si>
  <si>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</si>
  <si>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</si>
  <si>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</si>
  <si>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</si>
  <si>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</si>
  <si>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</si>
  <si>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</si>
  <si>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</si>
  <si>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</si>
  <si>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</si>
  <si>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</si>
  <si>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</si>
  <si>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</si>
  <si>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</si>
  <si>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</si>
  <si>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</si>
  <si>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</si>
  <si>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</si>
  <si>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</si>
  <si>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</si>
  <si>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</si>
  <si>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</si>
  <si>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</si>
  <si>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</si>
  <si>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</si>
  <si>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</si>
  <si>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</si>
  <si>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</si>
  <si>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</si>
  <si>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</si>
  <si>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</si>
  <si>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</si>
  <si>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</si>
  <si>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</si>
  <si>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</si>
  <si>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</si>
  <si>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</si>
  <si>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</si>
  <si>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</si>
  <si>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</si>
  <si>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</si>
  <si>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</si>
  <si>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</si>
  <si>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</si>
  <si>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</si>
  <si>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</si>
  <si>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</si>
  <si>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</si>
  <si>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</si>
  <si>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</si>
  <si>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</si>
  <si>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</si>
  <si>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</si>
  <si>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</si>
  <si>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</si>
  <si>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</si>
  <si>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</si>
  <si>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</si>
  <si>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</si>
  <si>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</si>
  <si>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</si>
  <si>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</si>
  <si>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</si>
  <si>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</si>
  <si>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</si>
  <si>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</si>
  <si>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</si>
  <si>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</si>
  <si>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</si>
  <si>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</si>
  <si>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</si>
  <si>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</si>
  <si>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</si>
  <si>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</si>
  <si>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</si>
  <si>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</si>
  <si>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</si>
  <si>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</si>
  <si>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</si>
  <si>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</si>
  <si>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</si>
  <si>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</si>
  <si>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</si>
  <si>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</si>
  <si>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</si>
  <si>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</si>
  <si>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</si>
  <si>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</si>
  <si>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</si>
  <si>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</si>
  <si>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</si>
  <si>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</si>
  <si>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</si>
  <si>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</si>
  <si>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</si>
  <si>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</si>
  <si>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</si>
  <si>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</si>
  <si>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</si>
  <si>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</si>
  <si>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</si>
  <si>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</si>
  <si>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</si>
  <si>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</si>
  <si>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</si>
  <si>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</si>
  <si>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</si>
  <si>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</si>
  <si>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</si>
  <si>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</si>
  <si>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</si>
  <si>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</si>
  <si>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</si>
  <si>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</si>
  <si>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</si>
  <si>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</si>
  <si>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</si>
  <si>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</si>
  <si>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</si>
  <si>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</si>
  <si>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</si>
  <si>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</si>
  <si>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</si>
  <si>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</si>
  <si>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</si>
  <si>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</si>
  <si>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</si>
  <si>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</si>
  <si>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</si>
  <si>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</si>
  <si>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</si>
  <si>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</si>
  <si>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</si>
  <si>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</si>
  <si>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</si>
  <si>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</si>
  <si>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</si>
  <si>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</si>
  <si>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</si>
  <si>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</si>
  <si>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</si>
  <si>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</si>
  <si>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</si>
  <si>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</si>
  <si>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</si>
  <si>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</si>
  <si>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</si>
  <si>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</si>
  <si>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</si>
  <si>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</si>
  <si>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</si>
  <si>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</si>
  <si>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</si>
  <si>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</si>
  <si>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</si>
  <si>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</si>
  <si>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</si>
  <si>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</si>
  <si>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</si>
  <si>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</si>
  <si>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</si>
  <si>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</si>
  <si>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</si>
  <si>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</si>
  <si>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</si>
  <si>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</si>
  <si>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</si>
  <si>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</si>
  <si>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</si>
  <si>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</si>
  <si>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</si>
  <si>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</si>
  <si>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</si>
  <si>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</si>
  <si>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</si>
  <si>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</si>
  <si>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</si>
  <si>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</si>
  <si>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</si>
  <si>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</si>
  <si>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</si>
  <si>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</si>
  <si>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</si>
  <si>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</si>
  <si>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</si>
  <si>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</si>
  <si>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</si>
  <si>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</si>
  <si>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</si>
  <si>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</si>
  <si>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</si>
  <si>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</si>
  <si>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</si>
  <si>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</si>
  <si>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</si>
  <si>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</si>
  <si>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</si>
  <si>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</si>
  <si>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</si>
  <si>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</si>
  <si>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</si>
  <si>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</si>
  <si>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</si>
  <si>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</si>
  <si>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</si>
  <si>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</si>
  <si>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</si>
  <si>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</si>
  <si>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</si>
  <si>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</si>
  <si>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</si>
  <si>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</si>
  <si>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</si>
  <si>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</si>
  <si>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</si>
  <si>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</si>
  <si>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</si>
  <si>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</si>
  <si>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</si>
  <si>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</si>
  <si>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</si>
  <si>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</si>
  <si>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</si>
  <si>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</si>
  <si>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</si>
  <si>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</si>
  <si>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</si>
  <si>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</si>
  <si>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</si>
  <si>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</si>
  <si>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</si>
  <si>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</si>
  <si>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</si>
  <si>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</si>
  <si>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</si>
  <si>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</si>
  <si>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</si>
  <si>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</si>
  <si>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</si>
  <si>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</si>
  <si>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</si>
  <si>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</si>
  <si>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</si>
  <si>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</si>
  <si>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</si>
  <si>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</si>
  <si>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</si>
  <si>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</si>
  <si>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</si>
  <si>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</si>
  <si>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</si>
  <si>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</si>
  <si>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</si>
  <si>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</si>
  <si>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</si>
  <si>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</si>
  <si>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</si>
  <si>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</si>
  <si>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</si>
  <si>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</si>
  <si>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</si>
  <si>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</si>
  <si>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</si>
  <si>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</si>
  <si>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</si>
  <si>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</si>
  <si>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</si>
  <si>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</si>
  <si>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</si>
  <si>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</si>
  <si>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</si>
  <si>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</si>
  <si>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</si>
  <si>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</si>
  <si>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</si>
  <si>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</si>
  <si>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</si>
  <si>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</si>
  <si>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</si>
  <si>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</si>
  <si>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</si>
  <si>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</si>
  <si>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</si>
  <si>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</si>
  <si>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</si>
  <si>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</si>
  <si>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</si>
  <si>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</si>
  <si>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</si>
  <si>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</si>
  <si>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</si>
  <si>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</si>
  <si>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</si>
  <si>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</si>
  <si>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</si>
  <si>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</si>
  <si>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</si>
  <si>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</si>
  <si>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</si>
  <si>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</si>
  <si>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</si>
  <si>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</si>
  <si>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</si>
  <si>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</si>
  <si>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</si>
  <si>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</si>
  <si>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</si>
  <si>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</si>
  <si>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</si>
  <si>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</si>
  <si>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</si>
  <si>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</si>
  <si>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</si>
  <si>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</si>
  <si>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</si>
  <si>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</si>
  <si>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</si>
  <si>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</si>
  <si>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</si>
  <si>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</si>
  <si>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</si>
  <si>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</si>
  <si>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</si>
  <si>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</si>
  <si>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</si>
  <si>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</si>
  <si>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</si>
  <si>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</si>
  <si>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</si>
  <si>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</si>
  <si>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</si>
  <si>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</si>
  <si>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</si>
  <si>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</si>
  <si>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</si>
  <si>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</si>
  <si>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</si>
  <si>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</si>
  <si>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</si>
  <si>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</si>
  <si>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</si>
  <si>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</si>
  <si>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</si>
  <si>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</si>
  <si>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</si>
  <si>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</si>
  <si>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</si>
  <si>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</si>
  <si>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</si>
  <si>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</si>
  <si>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</si>
  <si>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</si>
  <si>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</si>
  <si>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</si>
  <si>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</si>
  <si>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</si>
  <si>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</si>
  <si>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</si>
  <si>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</si>
  <si>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</si>
  <si>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</si>
  <si>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</si>
  <si>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</si>
  <si>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</si>
  <si>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</si>
  <si>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</si>
  <si>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</si>
  <si>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</si>
  <si>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</si>
  <si>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</si>
  <si>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</si>
  <si>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</si>
  <si>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</si>
  <si>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</si>
  <si>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</si>
  <si>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</si>
  <si>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</si>
  <si>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</si>
  <si>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</si>
  <si>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</si>
  <si>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</si>
  <si>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</si>
  <si>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</si>
  <si>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</si>
  <si>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</si>
  <si>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</si>
  <si>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</si>
  <si>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</si>
  <si>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</si>
  <si>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</si>
  <si>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</si>
  <si>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</si>
  <si>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</si>
  <si>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</si>
  <si>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</si>
  <si>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</si>
  <si>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</si>
  <si>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</si>
  <si>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</si>
  <si>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</si>
  <si>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</si>
  <si>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</si>
  <si>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</si>
  <si>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</si>
  <si>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</si>
  <si>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</si>
  <si>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</si>
  <si>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</si>
  <si>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</si>
  <si>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</si>
  <si>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</si>
  <si>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</si>
  <si>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</si>
  <si>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</si>
  <si>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</si>
  <si>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</si>
  <si>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</si>
  <si>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</si>
  <si>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</si>
  <si>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</si>
  <si>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</si>
  <si>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</si>
  <si>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</si>
  <si>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</si>
  <si>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</si>
  <si>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</si>
  <si>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</si>
  <si>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</si>
  <si>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</si>
  <si>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</si>
  <si>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</si>
  <si>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</si>
  <si>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</si>
  <si>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</si>
  <si>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</si>
  <si>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</si>
  <si>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</si>
  <si>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</si>
  <si>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</si>
  <si>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</si>
  <si>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</si>
  <si>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</si>
  <si>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</si>
  <si>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</si>
  <si>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</si>
  <si>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</si>
  <si>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</si>
  <si>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</si>
  <si>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</si>
  <si>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</si>
  <si>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</si>
  <si>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</si>
  <si>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</si>
  <si>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</si>
  <si>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</si>
  <si>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</si>
  <si>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</si>
  <si>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</si>
  <si>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</si>
  <si>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</si>
  <si>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</si>
  <si>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</si>
  <si>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</si>
  <si>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</si>
  <si>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</si>
  <si>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</si>
  <si>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</si>
  <si>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</si>
  <si>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</si>
  <si>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</si>
  <si>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</si>
  <si>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</si>
  <si>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</si>
  <si>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</si>
  <si>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</si>
  <si>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</si>
  <si>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</si>
  <si>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</si>
  <si>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</si>
  <si>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</si>
  <si>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</si>
  <si>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</si>
  <si>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</si>
  <si>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</si>
  <si>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</si>
  <si>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</si>
  <si>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</si>
  <si>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</si>
  <si>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</si>
  <si>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</si>
  <si>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</si>
  <si>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</si>
  <si>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</si>
  <si>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</si>
  <si>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</si>
  <si>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</si>
  <si>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</si>
  <si>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</si>
  <si>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</si>
  <si>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</si>
  <si>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</si>
  <si>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</si>
  <si>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</si>
  <si>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</si>
  <si>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</si>
  <si>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</si>
  <si>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</si>
  <si>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</si>
  <si>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</si>
  <si>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</si>
  <si>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</si>
  <si>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</si>
  <si>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</si>
  <si>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</si>
  <si>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</si>
  <si>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</si>
  <si>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</si>
  <si>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</si>
  <si>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</si>
  <si>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</si>
  <si>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</si>
  <si>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</si>
  <si>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</si>
  <si>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</si>
  <si>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</si>
  <si>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</si>
  <si>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</si>
  <si>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</si>
  <si>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</si>
  <si>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</si>
  <si>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</si>
  <si>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</si>
  <si>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</si>
  <si>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</si>
  <si>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</si>
  <si>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</si>
  <si>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</si>
  <si>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</si>
  <si>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</si>
  <si>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</si>
  <si>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</si>
  <si>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</si>
  <si>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</si>
  <si>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</si>
  <si>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</si>
  <si>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</si>
  <si>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</si>
  <si>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</si>
  <si>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</si>
  <si>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</si>
  <si>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</si>
  <si>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</si>
  <si>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</si>
  <si>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</si>
  <si>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</si>
  <si>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</si>
  <si>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</si>
  <si>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</si>
  <si>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</si>
  <si>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</si>
  <si>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</si>
  <si>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</si>
  <si>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</si>
  <si>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</si>
  <si>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</si>
  <si>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</si>
  <si>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</si>
  <si>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</si>
  <si>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</si>
  <si>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</si>
  <si>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</si>
  <si>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</si>
  <si>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</si>
  <si>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</si>
  <si>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</si>
  <si>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</si>
  <si>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</si>
  <si>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</si>
  <si>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</si>
  <si>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</si>
  <si>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</si>
  <si>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</si>
  <si>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</si>
  <si>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</si>
  <si>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</si>
  <si>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</si>
  <si>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</si>
  <si>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</si>
  <si>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</si>
  <si>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</si>
  <si>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</si>
  <si>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</si>
  <si>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</si>
  <si>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</si>
  <si>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</si>
  <si>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</si>
  <si>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</si>
  <si>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</si>
  <si>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</si>
  <si>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</si>
  <si>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</si>
  <si>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</si>
  <si>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</si>
  <si>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</si>
  <si>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</si>
  <si>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</si>
  <si>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</si>
  <si>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</si>
  <si>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</si>
  <si>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</si>
  <si>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</si>
  <si>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</si>
  <si>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</si>
  <si>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</si>
  <si>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</si>
  <si>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</si>
  <si>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</si>
  <si>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</si>
  <si>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</si>
  <si>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</si>
  <si>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</si>
  <si>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</si>
  <si>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</si>
  <si>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</si>
  <si>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</si>
  <si>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</si>
  <si>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</si>
  <si>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</si>
  <si>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</si>
  <si>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</si>
  <si>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</si>
  <si>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</si>
  <si>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</si>
  <si>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</si>
  <si>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</si>
  <si>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</si>
  <si>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</si>
  <si>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</si>
  <si>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</si>
  <si>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</si>
  <si>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</si>
  <si>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</si>
  <si>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</si>
  <si>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</si>
  <si>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</si>
  <si>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</si>
  <si>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</si>
  <si>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</si>
  <si>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</si>
  <si>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</si>
  <si>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</si>
  <si>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</si>
  <si>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</si>
  <si>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</si>
  <si>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</si>
  <si>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</si>
  <si>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</si>
  <si>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</si>
  <si>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</si>
  <si>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</si>
  <si>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</si>
  <si>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</si>
  <si>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</si>
  <si>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</si>
  <si>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</si>
  <si>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</si>
  <si>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</si>
  <si>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</si>
  <si>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</si>
  <si>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</si>
  <si>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</si>
  <si>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</si>
  <si>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</si>
  <si>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</si>
  <si>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</si>
  <si>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</si>
  <si>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</si>
  <si>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</si>
  <si>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</si>
  <si>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</si>
  <si>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</si>
  <si>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</si>
  <si>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</si>
  <si>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</si>
  <si>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</si>
  <si>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personNaMalee</t>
  </si>
  <si>
    <t>birthMaleonth</t>
  </si>
  <si>
    <t>LVMaleH</t>
  </si>
  <si>
    <t>Male</t>
  </si>
  <si>
    <t>AutoMaleotive</t>
  </si>
  <si>
    <t>Elon Maleusk</t>
  </si>
  <si>
    <t>Maleedina</t>
  </si>
  <si>
    <t>AMaleazon</t>
  </si>
  <si>
    <t>OMaleaha</t>
  </si>
  <si>
    <t>Maleedia &amp; EntertainMaleent</t>
  </si>
  <si>
    <t>Maleichael BlooMaleberg</t>
  </si>
  <si>
    <t>BlooMaleberg LP</t>
  </si>
  <si>
    <t>BlooMaleberg</t>
  </si>
  <si>
    <t>Maleichael</t>
  </si>
  <si>
    <t>TelecoMale</t>
  </si>
  <si>
    <t>Maleexico</t>
  </si>
  <si>
    <t>Maleexico City</t>
  </si>
  <si>
    <t>SliMale Helu</t>
  </si>
  <si>
    <t>Maleukesh AMalebani</t>
  </si>
  <si>
    <t>MaleuMalebai</t>
  </si>
  <si>
    <t>AMalebani</t>
  </si>
  <si>
    <t>Maleukesh</t>
  </si>
  <si>
    <t>Steve BallMaleer</t>
  </si>
  <si>
    <t>BallMaleer</t>
  </si>
  <si>
    <t>Bettencourt Maleeyers</t>
  </si>
  <si>
    <t>AMaleancio Ortega</t>
  </si>
  <si>
    <t>AMaleancio</t>
  </si>
  <si>
    <t>Beverages, pharMaleaceuticals</t>
  </si>
  <si>
    <t>Maleark Zuckerberg</t>
  </si>
  <si>
    <t>Maleark</t>
  </si>
  <si>
    <t>JiMale Walton</t>
  </si>
  <si>
    <t>WalMaleart</t>
  </si>
  <si>
    <t>JiMale</t>
  </si>
  <si>
    <t>Maleedia</t>
  </si>
  <si>
    <t>ThoMaleson</t>
  </si>
  <si>
    <t>Maleichael Dell</t>
  </si>
  <si>
    <t>GautaMale Adani</t>
  </si>
  <si>
    <t>AhMaleedabad</t>
  </si>
  <si>
    <t>GautaMale</t>
  </si>
  <si>
    <t>Zhang YiMaleing</t>
  </si>
  <si>
    <t>YiMaleing</t>
  </si>
  <si>
    <t>GerMaleany</t>
  </si>
  <si>
    <t>NeckarsulMale</t>
  </si>
  <si>
    <t>Klaus-Maleichael Kuehne</t>
  </si>
  <si>
    <t>Klaus-Maleichael</t>
  </si>
  <si>
    <t>BelgiuMale</t>
  </si>
  <si>
    <t>Jacqueline Malears</t>
  </si>
  <si>
    <t>Malears</t>
  </si>
  <si>
    <t>John Malears</t>
  </si>
  <si>
    <t>Malea Huateng</t>
  </si>
  <si>
    <t>Internet Maleedia</t>
  </si>
  <si>
    <t>Malea</t>
  </si>
  <si>
    <t>GaMalebling &amp; Casinos</t>
  </si>
  <si>
    <t>MaleiriaMale</t>
  </si>
  <si>
    <t>MaleiaMalei</t>
  </si>
  <si>
    <t>Maleark Maleateschitz</t>
  </si>
  <si>
    <t>Maleateschitz</t>
  </si>
  <si>
    <t>United KingdoMale</t>
  </si>
  <si>
    <t>Maleusic, cheMaleicals</t>
  </si>
  <si>
    <t>Alain WertheiMaleer</t>
  </si>
  <si>
    <t>WertheiMaleer</t>
  </si>
  <si>
    <t>Gerard WertheiMaleer</t>
  </si>
  <si>
    <t>Aponte-DiaMaleant</t>
  </si>
  <si>
    <t>E-coMaleMaleerce</t>
  </si>
  <si>
    <t>Trading, investMaleents</t>
  </si>
  <si>
    <t>JiMale SiMaleons</t>
  </si>
  <si>
    <t>SiMaleons</t>
  </si>
  <si>
    <t>Stephen SchwarzMalean</t>
  </si>
  <si>
    <t>InvestMaleents</t>
  </si>
  <si>
    <t>SchwarzMalean</t>
  </si>
  <si>
    <t>Bad HoMaleburg</t>
  </si>
  <si>
    <t>BMaleW, pharMaleaceuticals</t>
  </si>
  <si>
    <t>Maleetals &amp; Maleining</t>
  </si>
  <si>
    <t>Maleining</t>
  </si>
  <si>
    <t>WilliaMale Ding</t>
  </si>
  <si>
    <t>Online gaMalees</t>
  </si>
  <si>
    <t>WilliaMale</t>
  </si>
  <si>
    <t>Larrea Maleota Velasco</t>
  </si>
  <si>
    <t>GerMaleán</t>
  </si>
  <si>
    <t>PalMale Beach</t>
  </si>
  <si>
    <t>ThoMaleas</t>
  </si>
  <si>
    <t>United Arab EMaleirates</t>
  </si>
  <si>
    <t>Ras Al KhaiMaleah</t>
  </si>
  <si>
    <t>Maleelnichenko</t>
  </si>
  <si>
    <t>BMaleW</t>
  </si>
  <si>
    <t>MaleacKenzie Scott</t>
  </si>
  <si>
    <t>MaleacKenzie</t>
  </si>
  <si>
    <t>VladiMaleir Potanin</t>
  </si>
  <si>
    <t>Maleoscow</t>
  </si>
  <si>
    <t>Maleetals</t>
  </si>
  <si>
    <t>VladiMaleir</t>
  </si>
  <si>
    <t>Jack Malea</t>
  </si>
  <si>
    <t>HoMalee appliances</t>
  </si>
  <si>
    <t>Maleichael Hartono</t>
  </si>
  <si>
    <t>CheMaleicals</t>
  </si>
  <si>
    <t>JaMalees</t>
  </si>
  <si>
    <t>Maleasayoshi Son</t>
  </si>
  <si>
    <t>Internet, telecoMale</t>
  </si>
  <si>
    <t>Maleasayoshi</t>
  </si>
  <si>
    <t>VladiMaleir Lisin</t>
  </si>
  <si>
    <t>EMaleMaleanuel Besnier</t>
  </si>
  <si>
    <t>EMaleMaleanuel</t>
  </si>
  <si>
    <t>Maleilton</t>
  </si>
  <si>
    <t>Gas, cheMaleicals</t>
  </si>
  <si>
    <t>Maleikhelson</t>
  </si>
  <si>
    <t>SeMaleiconductors</t>
  </si>
  <si>
    <t>TakeMaleitsu Takizaki</t>
  </si>
  <si>
    <t>TakeMaleitsu</t>
  </si>
  <si>
    <t>Steel, investMaleents</t>
  </si>
  <si>
    <t>Maleordashov</t>
  </si>
  <si>
    <t>AutoMaleobiles</t>
  </si>
  <si>
    <t>Maleining, copper products</t>
  </si>
  <si>
    <t>Batteries, autoMaleobiles</t>
  </si>
  <si>
    <t>OklahoMalea City</t>
  </si>
  <si>
    <t>HaMaleMale</t>
  </si>
  <si>
    <t>Gennady TiMalechenko</t>
  </si>
  <si>
    <t>TiMalechenko</t>
  </si>
  <si>
    <t>LakshMalei Maleittal</t>
  </si>
  <si>
    <t>Maleittal</t>
  </si>
  <si>
    <t>LakshMalei</t>
  </si>
  <si>
    <t>John Maleenard, Jr.</t>
  </si>
  <si>
    <t>HoMalee iMaleproveMaleent stores</t>
  </si>
  <si>
    <t>Maleenard</t>
  </si>
  <si>
    <t>Maleurdoch</t>
  </si>
  <si>
    <t>Crans-Maleontana</t>
  </si>
  <si>
    <t>MaleulheiMale an der Ruhr</t>
  </si>
  <si>
    <t>Maleedical devices</t>
  </si>
  <si>
    <t>StockholMale</t>
  </si>
  <si>
    <t>H&amp;Male</t>
  </si>
  <si>
    <t>Eric SchMaleidt</t>
  </si>
  <si>
    <t>SchMaleidt</t>
  </si>
  <si>
    <t>Maleichael Platt</t>
  </si>
  <si>
    <t>LeMaleann</t>
  </si>
  <si>
    <t>PharMaleaceuticals</t>
  </si>
  <si>
    <t>Radhakishan DaMaleani</t>
  </si>
  <si>
    <t>Retail, investMaleents</t>
  </si>
  <si>
    <t>DaMaleani</t>
  </si>
  <si>
    <t>KuMalear Birla</t>
  </si>
  <si>
    <t>CoMaleMaleodities</t>
  </si>
  <si>
    <t>KuMalear</t>
  </si>
  <si>
    <t>CeMaleent, sugar</t>
  </si>
  <si>
    <t>Jan KouMale</t>
  </si>
  <si>
    <t>KouMale</t>
  </si>
  <si>
    <t>AutoMaleobiles, batteries</t>
  </si>
  <si>
    <t>Oil, banking, telecoMale</t>
  </si>
  <si>
    <t>Maleikhail</t>
  </si>
  <si>
    <t>Maleessaging app</t>
  </si>
  <si>
    <t>StruengMaleann</t>
  </si>
  <si>
    <t>Maleichael Rubin</t>
  </si>
  <si>
    <t>Bryn Maleawr</t>
  </si>
  <si>
    <t>Maleelbourne</t>
  </si>
  <si>
    <t>Maleikhail Prokhorov</t>
  </si>
  <si>
    <t>Giorgio ArMaleani</t>
  </si>
  <si>
    <t>Maleilan</t>
  </si>
  <si>
    <t>ArMaleani</t>
  </si>
  <si>
    <t>Energy, sports, entertainMaleent</t>
  </si>
  <si>
    <t>Retail, Maleedia</t>
  </si>
  <si>
    <t>Malearcel HerrMaleann Telles</t>
  </si>
  <si>
    <t>Malearcel HerrMaleann</t>
  </si>
  <si>
    <t>SuleiMalean</t>
  </si>
  <si>
    <t>Maleike Cannon-Brookes</t>
  </si>
  <si>
    <t>Maleike</t>
  </si>
  <si>
    <t>BlooMaleington</t>
  </si>
  <si>
    <t>Maleagnitogorsk</t>
  </si>
  <si>
    <t>Malealaysia</t>
  </si>
  <si>
    <t>Kuala LuMalepur</t>
  </si>
  <si>
    <t>Maleidland</t>
  </si>
  <si>
    <t>Maleartigny</t>
  </si>
  <si>
    <t>HerMalees</t>
  </si>
  <si>
    <t>Malearseille</t>
  </si>
  <si>
    <t>Maleelker</t>
  </si>
  <si>
    <t>Maleichael KiMale</t>
  </si>
  <si>
    <t>KiMale</t>
  </si>
  <si>
    <t>SMaleartphones</t>
  </si>
  <si>
    <t>Warehouse autoMaleation</t>
  </si>
  <si>
    <t>Malearijke Malears</t>
  </si>
  <si>
    <t>Malearijke</t>
  </si>
  <si>
    <t>PaMaleela Malears</t>
  </si>
  <si>
    <t>PaMaleela</t>
  </si>
  <si>
    <t>Valerie Malears</t>
  </si>
  <si>
    <t>Victoria Malears</t>
  </si>
  <si>
    <t>JiMale Pattison</t>
  </si>
  <si>
    <t>Biotech, investMaleents</t>
  </si>
  <si>
    <t>JaMalees Dyson</t>
  </si>
  <si>
    <t>VacuuMales</t>
  </si>
  <si>
    <t>AbraMaleovich</t>
  </si>
  <si>
    <t>RoMalean</t>
  </si>
  <si>
    <t>Energy, investMaleents</t>
  </si>
  <si>
    <t>John Malealone</t>
  </si>
  <si>
    <t>Malealone</t>
  </si>
  <si>
    <t>AziMale PreMaleji</t>
  </si>
  <si>
    <t>PreMaleji</t>
  </si>
  <si>
    <t>AziMale</t>
  </si>
  <si>
    <t>Eric SMaleidt</t>
  </si>
  <si>
    <t>SMaleidt</t>
  </si>
  <si>
    <t>HaMaleburg</t>
  </si>
  <si>
    <t>Anthony von Maleandl</t>
  </si>
  <si>
    <t>von Maleandl</t>
  </si>
  <si>
    <t>Hydraulic Maleachinery</t>
  </si>
  <si>
    <t>NewMalearket</t>
  </si>
  <si>
    <t>Maleoscow region</t>
  </si>
  <si>
    <t>EcoMaleMaleerce</t>
  </si>
  <si>
    <t>Dustin Maleoskovitz</t>
  </si>
  <si>
    <t>Maleoskovitz</t>
  </si>
  <si>
    <t>Pierre OMaleidyar</t>
  </si>
  <si>
    <t>OMaleidyar</t>
  </si>
  <si>
    <t>Maleichael Otto</t>
  </si>
  <si>
    <t>GraeMalee Hart</t>
  </si>
  <si>
    <t>GraeMalee</t>
  </si>
  <si>
    <t>Maleanuel Villar</t>
  </si>
  <si>
    <t>Maleanila</t>
  </si>
  <si>
    <t>Maleanuel</t>
  </si>
  <si>
    <t>von BechtolsheiMale</t>
  </si>
  <si>
    <t>Chase ColeMalean, III.</t>
  </si>
  <si>
    <t>ColeMalean</t>
  </si>
  <si>
    <t>JiMale Kennedy</t>
  </si>
  <si>
    <t>Maleedia, autoMaleotive</t>
  </si>
  <si>
    <t>DiaMaleonds</t>
  </si>
  <si>
    <t>OppenheiMaleer</t>
  </si>
  <si>
    <t>AluMaleinuMale products</t>
  </si>
  <si>
    <t>John Maleorris</t>
  </si>
  <si>
    <t>Maleorris</t>
  </si>
  <si>
    <t>GerMalean Khan</t>
  </si>
  <si>
    <t>GerMalean</t>
  </si>
  <si>
    <t>AbdulsaMalead Rabiu</t>
  </si>
  <si>
    <t>AbdulsaMalead</t>
  </si>
  <si>
    <t>Houston Rockets, entertainMaleent</t>
  </si>
  <si>
    <t>TilMalean</t>
  </si>
  <si>
    <t>Malearie-Hélène Habert-Dassault</t>
  </si>
  <si>
    <t>Malearie-Hélène</t>
  </si>
  <si>
    <t>Karel KoMalearek</t>
  </si>
  <si>
    <t>KoMalearek</t>
  </si>
  <si>
    <t>Bernard Malearcus</t>
  </si>
  <si>
    <t>HoMalee Depot</t>
  </si>
  <si>
    <t>Malearcus</t>
  </si>
  <si>
    <t>SMaleith</t>
  </si>
  <si>
    <t>Coal Maleines</t>
  </si>
  <si>
    <t>MaleiaMalei Beach</t>
  </si>
  <si>
    <t>SaMalesung</t>
  </si>
  <si>
    <t>RaMalezi MaleusallaMale</t>
  </si>
  <si>
    <t>MaleusallaMale</t>
  </si>
  <si>
    <t>RaMalezi</t>
  </si>
  <si>
    <t>Maleetals and Maleining</t>
  </si>
  <si>
    <t>Rocco CoMaleMaleisso</t>
  </si>
  <si>
    <t>CoMaleMaleisso</t>
  </si>
  <si>
    <t>PetrocheMaleicals</t>
  </si>
  <si>
    <t>Jean-Maleichel Besnier</t>
  </si>
  <si>
    <t>Jean-Maleichel</t>
  </si>
  <si>
    <t>Malearie Besnier Beauvalot</t>
  </si>
  <si>
    <t>Malearie</t>
  </si>
  <si>
    <t>Maleovies, record labels</t>
  </si>
  <si>
    <t>Henry SaMaleueli</t>
  </si>
  <si>
    <t>SaMaleueli</t>
  </si>
  <si>
    <t>Reinhold SchMaleieding</t>
  </si>
  <si>
    <t>SchMaleieding</t>
  </si>
  <si>
    <t>Photovoltaic equipMaleent</t>
  </si>
  <si>
    <t>HasMaleukh</t>
  </si>
  <si>
    <t>SuperMalearkets</t>
  </si>
  <si>
    <t>JaMalees Goodnight</t>
  </si>
  <si>
    <t>Malea Jianrong</t>
  </si>
  <si>
    <t>Construction, investMaleents</t>
  </si>
  <si>
    <t>CeMaleent</t>
  </si>
  <si>
    <t>Iskander MaleakhMaleudov</t>
  </si>
  <si>
    <t>Maleining, Maleetals, Maleachinery</t>
  </si>
  <si>
    <t>MaleakhMaleudov</t>
  </si>
  <si>
    <t>DenMaleark</t>
  </si>
  <si>
    <t>Electronics coMaleponents</t>
  </si>
  <si>
    <t>Real estate, investMaleents</t>
  </si>
  <si>
    <t>Malealibu</t>
  </si>
  <si>
    <t>GuillauMalee Pousaz</t>
  </si>
  <si>
    <t>GuillauMalee</t>
  </si>
  <si>
    <t>Maleadison</t>
  </si>
  <si>
    <t>GaMalebling</t>
  </si>
  <si>
    <t>TaMaleara Gustavson</t>
  </si>
  <si>
    <t>TaMaleara</t>
  </si>
  <si>
    <t>Construction equipMaleent</t>
  </si>
  <si>
    <t>Malearc</t>
  </si>
  <si>
    <t>DMaleitri BukhMalean</t>
  </si>
  <si>
    <t>BukhMalean</t>
  </si>
  <si>
    <t>DMaleitri</t>
  </si>
  <si>
    <t>Igor BukhMalean</t>
  </si>
  <si>
    <t>Jack DangerMaleond</t>
  </si>
  <si>
    <t>DangerMaleond</t>
  </si>
  <si>
    <t>Rohiqa Cyrus Maleistry</t>
  </si>
  <si>
    <t>Maleistry</t>
  </si>
  <si>
    <t>Shapoor Maleistry</t>
  </si>
  <si>
    <t>HoMaleebuilding, insurance</t>
  </si>
  <si>
    <t>Pauline MaleacMaleillan Keinath</t>
  </si>
  <si>
    <t>Pauline MaleacMaleillan</t>
  </si>
  <si>
    <t>LithiuMale batteries</t>
  </si>
  <si>
    <t>Sandra Ortega Maleera</t>
  </si>
  <si>
    <t>Ortega Maleera</t>
  </si>
  <si>
    <t>Maleedical equipMaleent</t>
  </si>
  <si>
    <t>Online gaMalebling</t>
  </si>
  <si>
    <t>Maleilane</t>
  </si>
  <si>
    <t>Yuri Maleilner</t>
  </si>
  <si>
    <t>Tech investMaleents</t>
  </si>
  <si>
    <t>Maleilner</t>
  </si>
  <si>
    <t>Gordon Maleoore</t>
  </si>
  <si>
    <t>Maleoore</t>
  </si>
  <si>
    <t>Maleillburn</t>
  </si>
  <si>
    <t>Maleetals, investMaleents</t>
  </si>
  <si>
    <t>Randa Duncan WilliaMales</t>
  </si>
  <si>
    <t>WilliaMales</t>
  </si>
  <si>
    <t>Maleoney MaleanageMaleent</t>
  </si>
  <si>
    <t>ThoMaleas Kirk Kristiansen</t>
  </si>
  <si>
    <t>ThoMaleas Kirk</t>
  </si>
  <si>
    <t>MaleassiMaleiliana</t>
  </si>
  <si>
    <t>Solar panel coMaleponents</t>
  </si>
  <si>
    <t>Maleagdalena Maleartullo-Blocher</t>
  </si>
  <si>
    <t>Maleartullo-Blocher</t>
  </si>
  <si>
    <t>Maleagdalena</t>
  </si>
  <si>
    <t>CoMaleputer hardware</t>
  </si>
  <si>
    <t>HaMalepton</t>
  </si>
  <si>
    <t>Maleunich</t>
  </si>
  <si>
    <t>David BonderMalean</t>
  </si>
  <si>
    <t>BonderMalean</t>
  </si>
  <si>
    <t>Maleelinda</t>
  </si>
  <si>
    <t>InvestMaleents, real estate</t>
  </si>
  <si>
    <t>Crans Maleontana</t>
  </si>
  <si>
    <t>Stanley DruckenMaleiller</t>
  </si>
  <si>
    <t>DruckenMaleiller</t>
  </si>
  <si>
    <t>BioMaleedical products</t>
  </si>
  <si>
    <t>Alexei KuzMaleichev</t>
  </si>
  <si>
    <t>KuzMaleichev</t>
  </si>
  <si>
    <t>Luis Carlos SarMaleiento</t>
  </si>
  <si>
    <t>ColoMalebia</t>
  </si>
  <si>
    <t>SarMaleiento</t>
  </si>
  <si>
    <t>Maleissoula</t>
  </si>
  <si>
    <t>Construction, Maleining</t>
  </si>
  <si>
    <t>Solar equipMaleent</t>
  </si>
  <si>
    <t>Maleerieux</t>
  </si>
  <si>
    <t>Maleetalworking tools</t>
  </si>
  <si>
    <t>Beer, investMaleents</t>
  </si>
  <si>
    <t>AraMaleburuzabala</t>
  </si>
  <si>
    <t>Malearia Asuncion</t>
  </si>
  <si>
    <t>AMalesterdaMale</t>
  </si>
  <si>
    <t>TeMalep agency</t>
  </si>
  <si>
    <t>GoldschMaleeding</t>
  </si>
  <si>
    <t>Maleuqin</t>
  </si>
  <si>
    <t>Maleichal Solowow</t>
  </si>
  <si>
    <t>Maleichal</t>
  </si>
  <si>
    <t>Maleike Adenuga</t>
  </si>
  <si>
    <t>TelecoMale, oil</t>
  </si>
  <si>
    <t>ToMale Gores</t>
  </si>
  <si>
    <t>ToMale</t>
  </si>
  <si>
    <t>Maleichael Herz</t>
  </si>
  <si>
    <t>Alexander AbraMaleov</t>
  </si>
  <si>
    <t>Steel, Maleining</t>
  </si>
  <si>
    <t>AbraMaleov</t>
  </si>
  <si>
    <t>Neil BluhMale</t>
  </si>
  <si>
    <t>BluhMale</t>
  </si>
  <si>
    <t>Maleontreal</t>
  </si>
  <si>
    <t>Gopikishan DaMaleani</t>
  </si>
  <si>
    <t>SuMaleet Jiaravanon</t>
  </si>
  <si>
    <t>SuMaleet</t>
  </si>
  <si>
    <t>Maleichael Maleilken</t>
  </si>
  <si>
    <t>Maleilken</t>
  </si>
  <si>
    <t>Tsai Eng-Maleeng</t>
  </si>
  <si>
    <t>Eng-Maleeng</t>
  </si>
  <si>
    <t>HuMalelebaek</t>
  </si>
  <si>
    <t>Rinat AkhMaleetov</t>
  </si>
  <si>
    <t>AkhMaleetov</t>
  </si>
  <si>
    <t>ThoMaleas SchMaleidheiny</t>
  </si>
  <si>
    <t>SchMaleidheiny</t>
  </si>
  <si>
    <t>North PalMale Beach</t>
  </si>
  <si>
    <t>Lai Maleeisong</t>
  </si>
  <si>
    <t>Maleeisong</t>
  </si>
  <si>
    <t>Maleotorcycles</t>
  </si>
  <si>
    <t>VikraMale</t>
  </si>
  <si>
    <t>PharMaleaceutical ingredients</t>
  </si>
  <si>
    <t>Hotels, investMaleents</t>
  </si>
  <si>
    <t>Maleicky Arison</t>
  </si>
  <si>
    <t>Maleicky</t>
  </si>
  <si>
    <t>JaMalees ChaMalebers</t>
  </si>
  <si>
    <t>ChaMalebers</t>
  </si>
  <si>
    <t>TiMaleberland, luMaleber Maleills</t>
  </si>
  <si>
    <t>EMaleMaleerson</t>
  </si>
  <si>
    <t>Maleodena</t>
  </si>
  <si>
    <t>JaMalees Irving</t>
  </si>
  <si>
    <t>Malearguerre</t>
  </si>
  <si>
    <t>Ludwig Maleerckle</t>
  </si>
  <si>
    <t>UlMale</t>
  </si>
  <si>
    <t>Maleerckle</t>
  </si>
  <si>
    <t>Maleitchell Rales</t>
  </si>
  <si>
    <t>PotoMaleac</t>
  </si>
  <si>
    <t>Maleitchell</t>
  </si>
  <si>
    <t>East HaMalepton</t>
  </si>
  <si>
    <t>Maleedical packaging</t>
  </si>
  <si>
    <t>Maleargaretta Taylor</t>
  </si>
  <si>
    <t>SouthaMalepton</t>
  </si>
  <si>
    <t>Maleargaretta</t>
  </si>
  <si>
    <t>Maleahendra</t>
  </si>
  <si>
    <t>Maleat Ishbia</t>
  </si>
  <si>
    <t>Maleortgage lender</t>
  </si>
  <si>
    <t>Maleat</t>
  </si>
  <si>
    <t>Maleiao Hangen</t>
  </si>
  <si>
    <t>Textiles, petrocheMaleicals</t>
  </si>
  <si>
    <t>Maleiao</t>
  </si>
  <si>
    <t>Maleichael Pieper</t>
  </si>
  <si>
    <t>Maleiuccia Prada</t>
  </si>
  <si>
    <t>Maleiuccia</t>
  </si>
  <si>
    <t>ConsuMaleer goods</t>
  </si>
  <si>
    <t>ReiMaleann</t>
  </si>
  <si>
    <t>Maleatthias ReiMaleann-Andersen</t>
  </si>
  <si>
    <t>ReiMaleann-Andersen</t>
  </si>
  <si>
    <t>Maleatthias</t>
  </si>
  <si>
    <t>Renate ReiMaleann-Haas</t>
  </si>
  <si>
    <t>ReiMaleann-Haas</t>
  </si>
  <si>
    <t>IbrahiMale ErdeMaleoglu</t>
  </si>
  <si>
    <t>ErdeMaleoglu</t>
  </si>
  <si>
    <t>IbrahiMale</t>
  </si>
  <si>
    <t>ThoMaleas Pritzker</t>
  </si>
  <si>
    <t>Maleark Walter</t>
  </si>
  <si>
    <t>Male.A.</t>
  </si>
  <si>
    <t>liFemalee_expectancy_country</t>
  </si>
  <si>
    <t>Femaleashion &amp; Retail</t>
  </si>
  <si>
    <t>Bernard Arnault &amp; FemaleaMaleily</t>
  </si>
  <si>
    <t>Femalerance</t>
  </si>
  <si>
    <t>FemaleALSE</t>
  </si>
  <si>
    <t>JeFemaleFemale</t>
  </si>
  <si>
    <t>Femaleinance &amp; InvestMaleents</t>
  </si>
  <si>
    <t>Warren BuFemaleFemaleett</t>
  </si>
  <si>
    <t>BuFemaleFemaleett</t>
  </si>
  <si>
    <t>MaleicrosoFemalet</t>
  </si>
  <si>
    <t>Carlos SliMale Helu &amp; FemaleaMaleily</t>
  </si>
  <si>
    <t>Femalerancoise Bettencourt Maleeyers &amp; FemaleaMaleily</t>
  </si>
  <si>
    <t>Female</t>
  </si>
  <si>
    <t>Femalerancoise</t>
  </si>
  <si>
    <t>Femaleacebook</t>
  </si>
  <si>
    <t>Charles Koch &amp; FemaleaMaleily</t>
  </si>
  <si>
    <t>Julia Koch &amp; FemaleaMaleily</t>
  </si>
  <si>
    <t>Rob Walton &amp; FemaleaMaleily</t>
  </si>
  <si>
    <t>Femaleort Worth</t>
  </si>
  <si>
    <t>David ThoMaleson &amp; FemaleaMaleily</t>
  </si>
  <si>
    <t>InFemalerastructure, coMaleMaleodities</t>
  </si>
  <si>
    <t>Phil Knight &amp; FemaleaMaleily</t>
  </si>
  <si>
    <t>Femalerançois Pinault &amp; FemaleaMaleily</t>
  </si>
  <si>
    <t>Femalerançois</t>
  </si>
  <si>
    <t>Giovanni Femaleerrero</t>
  </si>
  <si>
    <t>Femaleerrero</t>
  </si>
  <si>
    <t>Candy, pet Femaleood</t>
  </si>
  <si>
    <t>MaleiriaMale Adelson &amp; FemaleaMaleily</t>
  </si>
  <si>
    <t>Ken GriFemaleFemalein</t>
  </si>
  <si>
    <t>Hedge Femaleunds</t>
  </si>
  <si>
    <t>GriFemaleFemalein</t>
  </si>
  <si>
    <t>Tadashi Yanai &amp; FemaleaMaleily</t>
  </si>
  <si>
    <t>Femaleashion retail</t>
  </si>
  <si>
    <t>RaFemaleaela Aponte-DiaMaleant</t>
  </si>
  <si>
    <t>RaFemaleaela</t>
  </si>
  <si>
    <t>MaleanuFemaleacturing</t>
  </si>
  <si>
    <t>Reinhold Wuerth &amp; FemaleaMaleily</t>
  </si>
  <si>
    <t>Femaleasteners</t>
  </si>
  <si>
    <t>JeFemaleFemale Yass</t>
  </si>
  <si>
    <t>HaverFemaleord</t>
  </si>
  <si>
    <t>GerMaleán Larrea Maleota Velasco &amp; FemaleaMaleily</t>
  </si>
  <si>
    <t>soFemaletware services</t>
  </si>
  <si>
    <t>ThoMaleas PeterFemaleFemaley</t>
  </si>
  <si>
    <t>PeterFemaleFemaley</t>
  </si>
  <si>
    <t>Andrey Maleelnichenko &amp; FemaleaMaleily</t>
  </si>
  <si>
    <t>Femaleertilizers, coal</t>
  </si>
  <si>
    <t>SteFemalean Quandt</t>
  </si>
  <si>
    <t>FemalerankFemaleurt</t>
  </si>
  <si>
    <t>SteFemalean</t>
  </si>
  <si>
    <t>He Xiangjian &amp; FemaleaMaleily</t>
  </si>
  <si>
    <t>Femaleoshan</t>
  </si>
  <si>
    <t>Iris Femaleontbona &amp; FemaleaMaleily</t>
  </si>
  <si>
    <t>Femaleontbona</t>
  </si>
  <si>
    <t>JaMalees RatcliFemaleFemalee</t>
  </si>
  <si>
    <t>RatcliFemaleFemalee</t>
  </si>
  <si>
    <t>Femaleidelity</t>
  </si>
  <si>
    <t>Leonid Maleikhelson &amp; FemaleaMaleily</t>
  </si>
  <si>
    <t>Alexey Maleordashov &amp; FemaleaMaleily</t>
  </si>
  <si>
    <t>ThoMaleas Femalerist, Jr. &amp; FemaleaMaleily</t>
  </si>
  <si>
    <t>Femalerist</t>
  </si>
  <si>
    <t>Andrew Femaleorrest</t>
  </si>
  <si>
    <t>Femaleorrest</t>
  </si>
  <si>
    <t>Wang ChuanFemaleu</t>
  </si>
  <si>
    <t>ChuanFemaleu</t>
  </si>
  <si>
    <t>Harold HaMaleMale &amp; FemaleaMaleily</t>
  </si>
  <si>
    <t>Femaleranklin</t>
  </si>
  <si>
    <t>Savitri Jindal &amp; FemaleaMaleily</t>
  </si>
  <si>
    <t>Rupert Maleurdoch &amp; FemaleaMaleily</t>
  </si>
  <si>
    <t>Vicky SaFemalera &amp; FemaleaMaleily</t>
  </si>
  <si>
    <t>SaFemalera</t>
  </si>
  <si>
    <t>Theo Albrecht, Jr. &amp; FemaleaMaleily</t>
  </si>
  <si>
    <t>Renata Kellnerova &amp; FemaleaMaleily</t>
  </si>
  <si>
    <t>SteFemalean Persson</t>
  </si>
  <si>
    <t>Jorge Paulo LeMaleann &amp; FemaleaMaleily</t>
  </si>
  <si>
    <t>David Green &amp; FemaleaMaleily</t>
  </si>
  <si>
    <t>Charlene de Carvalho-Heineken &amp; FemaleaMaleily</t>
  </si>
  <si>
    <t>Wei Jianjun &amp; FemaleaMaleily</t>
  </si>
  <si>
    <t>Idan OFemaleer</t>
  </si>
  <si>
    <t>OFemaleer</t>
  </si>
  <si>
    <t>John Femaleredriksen</t>
  </si>
  <si>
    <t>Femaleredriksen</t>
  </si>
  <si>
    <t>AFemaleton</t>
  </si>
  <si>
    <t>Harry TriguboFemaleFemale</t>
  </si>
  <si>
    <t>TriguboFemaleFemale</t>
  </si>
  <si>
    <t>Maleikhail FemaleridMalean</t>
  </si>
  <si>
    <t>FemaleridMalean</t>
  </si>
  <si>
    <t>Jiang Rensheng &amp; FemaleaMaleily</t>
  </si>
  <si>
    <t>Laurene Powell Jobs &amp; FemaleaMaleily</t>
  </si>
  <si>
    <t>Andreas StruengMaleann &amp; FemaleaMaleily</t>
  </si>
  <si>
    <t>ThoMaleas StruengMaleann &amp; FemaleaMaleily</t>
  </si>
  <si>
    <t>Femaleertilizer, real estate</t>
  </si>
  <si>
    <t>FemalerauenFemaleeld</t>
  </si>
  <si>
    <t>Johann Rupert &amp; FemaleaMaleily</t>
  </si>
  <si>
    <t>South AFemalerica</t>
  </si>
  <si>
    <t>Judy Love &amp; FemaleaMaleily</t>
  </si>
  <si>
    <t>Ricardo Salinas Pliego &amp; FemaleaMaleily</t>
  </si>
  <si>
    <t>Robert KraFemalet</t>
  </si>
  <si>
    <t>KraFemalet</t>
  </si>
  <si>
    <t>SuleiMalean KeriMaleov &amp; FemaleaMaleily</t>
  </si>
  <si>
    <t>KeriMaleov &amp; FemaleaMaleily</t>
  </si>
  <si>
    <t>SoFemaletware</t>
  </si>
  <si>
    <t>David DuFemaleFemaleield</t>
  </si>
  <si>
    <t>Business soFemaletware</t>
  </si>
  <si>
    <t>DuFemaleFemaleield</t>
  </si>
  <si>
    <t>JeFemaleFemaleery Hildebrand</t>
  </si>
  <si>
    <t>JeFemaleFemaleery</t>
  </si>
  <si>
    <t>Georg SchaeFemaleFemaleler</t>
  </si>
  <si>
    <t>SchaeFemaleFemaleler</t>
  </si>
  <si>
    <t>Scott Femalearquhar</t>
  </si>
  <si>
    <t>Femalearquhar</t>
  </si>
  <si>
    <t>Maleelker Schorling &amp; FemaleaMaleily</t>
  </si>
  <si>
    <t>Andrei Guriev &amp; FemaleaMaleily</t>
  </si>
  <si>
    <t>Femaleertilizers</t>
  </si>
  <si>
    <t>Guriev &amp; FemaleaMaleily</t>
  </si>
  <si>
    <t>FemaleriedhelMale Loh</t>
  </si>
  <si>
    <t>FemaleriedhelMale</t>
  </si>
  <si>
    <t>Rick Cohen &amp; FemaleaMaleily</t>
  </si>
  <si>
    <t>Jin BaoFemaleang</t>
  </si>
  <si>
    <t>BaoFemaleang</t>
  </si>
  <si>
    <t>Luo Liguo &amp; FemaleaMaleily</t>
  </si>
  <si>
    <t>Vincent Bolloré &amp; FemaleaMaleily</t>
  </si>
  <si>
    <t>Femaleood delivery</t>
  </si>
  <si>
    <t>San Femalerancisco</t>
  </si>
  <si>
    <t>RoMalean AbraMaleovich &amp; FemaleaMaleily</t>
  </si>
  <si>
    <t>Antonia Ax:son Johnson &amp; FemaleaMaleily</t>
  </si>
  <si>
    <t>SoFemaletware services</t>
  </si>
  <si>
    <t>Wang Liping &amp; FemaleaMaleily</t>
  </si>
  <si>
    <t>Femaleinn Rausing</t>
  </si>
  <si>
    <t>Femaleinn</t>
  </si>
  <si>
    <t>Carrie Perrodo &amp; FemaleaMaleily</t>
  </si>
  <si>
    <t>SoFemalet drinks, Femaleast Femaleood</t>
  </si>
  <si>
    <t>Hasso Plattner &amp; FemaleaMaleily</t>
  </si>
  <si>
    <t>Carlos Alberto Sicupira &amp; FemaleaMaleily</t>
  </si>
  <si>
    <t>Andreas von BechtolsheiMale &amp; FemaleaMaleily</t>
  </si>
  <si>
    <t>Li Zhenguo &amp; FemaleaMaleily</t>
  </si>
  <si>
    <t>Solar waFemaleers and Maleodules</t>
  </si>
  <si>
    <t>Nicky OppenheiMaleer &amp; FemaleaMaleily</t>
  </si>
  <si>
    <t>Zheng Shuliang &amp; FemaleaMaleily</t>
  </si>
  <si>
    <t>SpringFemaleield</t>
  </si>
  <si>
    <t>Yang Huiyan &amp; FemaleaMaleily</t>
  </si>
  <si>
    <t>TilMalean Femaleertitta</t>
  </si>
  <si>
    <t>Femaleertitta</t>
  </si>
  <si>
    <t>Leonid Femaleedun</t>
  </si>
  <si>
    <t>Femaleedun</t>
  </si>
  <si>
    <t>Robert Female. SMaleith</t>
  </si>
  <si>
    <t>Robert Female.</t>
  </si>
  <si>
    <t>Andrei Skoch &amp; FemaleaMaleily</t>
  </si>
  <si>
    <t>Skoch &amp; FemaleaMaleily</t>
  </si>
  <si>
    <t>Georg StuMalepFemale</t>
  </si>
  <si>
    <t>StuMalepFemale</t>
  </si>
  <si>
    <t>Li Shuirong &amp; FemaleaMaleily</t>
  </si>
  <si>
    <t>Qi Shi &amp; FemaleaMaleily</t>
  </si>
  <si>
    <t>Femaleinancial inFemaleorMaleation</t>
  </si>
  <si>
    <t>Femaleurniture</t>
  </si>
  <si>
    <t>David GeFemaleFemaleen</t>
  </si>
  <si>
    <t>GeFemaleFemaleen</t>
  </si>
  <si>
    <t>Liu Yonghao &amp; FemaleaMaleily</t>
  </si>
  <si>
    <t>Ivar TolleFemalesen</t>
  </si>
  <si>
    <t>TolleFemalesen</t>
  </si>
  <si>
    <t>HeFemaleei</t>
  </si>
  <si>
    <t>HasMaleukh Chudgar &amp; FemaleaMaleily</t>
  </si>
  <si>
    <t>NasseFemale Sawiris</t>
  </si>
  <si>
    <t>NasseFemale</t>
  </si>
  <si>
    <t>JeFemaleFemale Greene</t>
  </si>
  <si>
    <t>Femaleintech</t>
  </si>
  <si>
    <t>Judy Femaleaulkner</t>
  </si>
  <si>
    <t>Healthcare soFemaletware</t>
  </si>
  <si>
    <t>Femaleaulkner</t>
  </si>
  <si>
    <t>Johann GraFemale</t>
  </si>
  <si>
    <t>GraFemale</t>
  </si>
  <si>
    <t>SelFemale storage</t>
  </si>
  <si>
    <t>Femalerederik Paulsen</t>
  </si>
  <si>
    <t>Femalerederik</t>
  </si>
  <si>
    <t>Malearc BenioFemaleFemale</t>
  </si>
  <si>
    <t>BenioFemaleFemale</t>
  </si>
  <si>
    <t>Maleapping soFemaletware</t>
  </si>
  <si>
    <t>Ashwin Dani &amp; FemaleaMaleily</t>
  </si>
  <si>
    <t>Femaleood distribution</t>
  </si>
  <si>
    <t>Don Vultaggio &amp; FemaleaMaleily</t>
  </si>
  <si>
    <t>Edythe Broad &amp; FemaleaMaleily</t>
  </si>
  <si>
    <t>Philippe LaFemaleFemaleont</t>
  </si>
  <si>
    <t>Hedge Femaleund</t>
  </si>
  <si>
    <t>LaFemaleFemaleont</t>
  </si>
  <si>
    <t>Liu Jincheng &amp; FemaleaMaleily</t>
  </si>
  <si>
    <t>Igor OlenicoFemaleFemale</t>
  </si>
  <si>
    <t>OlenicoFemaleFemale</t>
  </si>
  <si>
    <t>Silvio Berlusconi &amp; FemaleaMaleily</t>
  </si>
  <si>
    <t>Maleilane Femalerantz</t>
  </si>
  <si>
    <t>Femalerantz</t>
  </si>
  <si>
    <t>Ken Femaleisher</t>
  </si>
  <si>
    <t>Femaleisher</t>
  </si>
  <si>
    <t>SoFemaleie Kirk Kristiansen</t>
  </si>
  <si>
    <t>SoFemaleie Kirk</t>
  </si>
  <si>
    <t>MaleassiMaleiliana Landini Aleotti &amp; FemaleaMaleily</t>
  </si>
  <si>
    <t>Femaleiesole</t>
  </si>
  <si>
    <t>FemaleeldMaleeilen</t>
  </si>
  <si>
    <t>John A. Sobrato &amp; FemaleaMaleily</t>
  </si>
  <si>
    <t>Chick-Femaleil-A</t>
  </si>
  <si>
    <t>Maleelinda Femalerench Gates</t>
  </si>
  <si>
    <t>Femalerench Gates</t>
  </si>
  <si>
    <t>Annette Lerner &amp; FemaleaMaleily</t>
  </si>
  <si>
    <t>StaFemaleFemaleing, BaltiMaleore Ravens</t>
  </si>
  <si>
    <t>Anthony BaMaleFemaleord &amp; FemaleaMaleily</t>
  </si>
  <si>
    <t>BaMaleFemaleord</t>
  </si>
  <si>
    <t>Gao JiFemalean &amp; FemaleaMaleily</t>
  </si>
  <si>
    <t>JiFemalean</t>
  </si>
  <si>
    <t>Alain Maleerieux &amp; FemaleaMaleily</t>
  </si>
  <si>
    <t>Wang Yusuo &amp; FemaleaMaleily</t>
  </si>
  <si>
    <t>LangFemaleang</t>
  </si>
  <si>
    <t>SteFemale WertheiMaleer &amp; FemaleaMaleily</t>
  </si>
  <si>
    <t>SteFemale</t>
  </si>
  <si>
    <t>Malearia Asuncion AraMaleburuzabala &amp; FemaleaMaleily</t>
  </si>
  <si>
    <t>GustaFemale Douglas</t>
  </si>
  <si>
    <t>GustaFemale</t>
  </si>
  <si>
    <t>Femalerits GoldschMaleeding</t>
  </si>
  <si>
    <t>Femalerits</t>
  </si>
  <si>
    <t>Lin Maleuqin &amp; FemaleaMaleily</t>
  </si>
  <si>
    <t>CoFemaleFemaleee</t>
  </si>
  <si>
    <t>WolFemalegang Herz</t>
  </si>
  <si>
    <t>WolFemalegang</t>
  </si>
  <si>
    <t>Security soFemaletware</t>
  </si>
  <si>
    <t>Femalerank Lowy</t>
  </si>
  <si>
    <t>Femalerank</t>
  </si>
  <si>
    <t>Les Wexner &amp; FemaleaMaleily</t>
  </si>
  <si>
    <t>Femaleood, beverages</t>
  </si>
  <si>
    <t>Femaleredrik Lundberg</t>
  </si>
  <si>
    <t>Femaleredrik</t>
  </si>
  <si>
    <t>Daniel ZiFemaleFemale</t>
  </si>
  <si>
    <t>ZiFemaleFemale</t>
  </si>
  <si>
    <t>Dirk ZiFemaleFemale</t>
  </si>
  <si>
    <t>Robert ZiFemaleFemale</t>
  </si>
  <si>
    <t>VikraMale Lal &amp; FemaleaMaleily</t>
  </si>
  <si>
    <t>BranFemaleord</t>
  </si>
  <si>
    <t>GaMalebling soFemaletware</t>
  </si>
  <si>
    <t>PayMaleents soFemaletware</t>
  </si>
  <si>
    <t>PayMaleent soFemaletware</t>
  </si>
  <si>
    <t>Archie Aldis EMaleMaleerson &amp; FemaleaMaleily</t>
  </si>
  <si>
    <t>Piero Femaleerrari</t>
  </si>
  <si>
    <t>Femaleerrari</t>
  </si>
  <si>
    <t>Dan Femaleriedkin</t>
  </si>
  <si>
    <t>Femaleriedkin</t>
  </si>
  <si>
    <t>Jiang Weiping &amp; FemaleaMaleily</t>
  </si>
  <si>
    <t>WolFemalegang Malearguerre &amp; FemaleaMaleily</t>
  </si>
  <si>
    <t>Sergio Stevanato &amp; FemaleaMaleily</t>
  </si>
  <si>
    <t>Maleahendra Choksi &amp; FemaleaMaleily</t>
  </si>
  <si>
    <t>BlooMaleFemaleield Hills</t>
  </si>
  <si>
    <t>WolFemalegang ReiMaleann</t>
  </si>
  <si>
    <t>SteFemalean ReiMaleann-Andersen</t>
  </si>
  <si>
    <t>Erich Wesjohann &amp; FemaleaMaleily</t>
  </si>
  <si>
    <t>Male.A. YusuFemaleFemale Ali</t>
  </si>
  <si>
    <t>YusuFemaleFemale Ali</t>
  </si>
  <si>
    <t>BirthDate</t>
  </si>
  <si>
    <t>Today'sDate</t>
  </si>
  <si>
    <t>Age</t>
  </si>
  <si>
    <t>FinalWorth</t>
  </si>
  <si>
    <t>FirstNaMalee</t>
  </si>
  <si>
    <t>SelfMade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</si>
  <si>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</si>
  <si>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</si>
  <si>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</si>
  <si>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</si>
  <si>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</si>
  <si>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</si>
  <si>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</si>
  <si>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</si>
  <si>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</si>
  <si>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</si>
  <si>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</si>
  <si>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</si>
  <si>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</si>
  <si>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</si>
  <si>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(blank)</t>
  </si>
  <si>
    <t>Grand Total</t>
  </si>
  <si>
    <t>Count of FinalWorth</t>
  </si>
  <si>
    <t>TOP 10 RICHEST PEOPLE</t>
  </si>
  <si>
    <t>Sum of FinalWorth</t>
  </si>
  <si>
    <t>COUNTRIES WITH THE HIGHEST NUMBER OF BILLIONAIRES</t>
  </si>
  <si>
    <t>INDUSTRIES WITH THE HIGHEST NUMBER OF BILLIONAIRES</t>
  </si>
  <si>
    <t>COUNT OF BILLIONAIRES BY AGE</t>
  </si>
  <si>
    <t>Manufacturing, investMaleents</t>
  </si>
  <si>
    <t>Maintenance &amp; InvestMaleents</t>
  </si>
  <si>
    <t>Maintenance, telecoMaleMaleunications</t>
  </si>
  <si>
    <t>Maintenance</t>
  </si>
  <si>
    <t>Maintenance, asset MaleanageMaleent</t>
  </si>
  <si>
    <t>Average life expectancy of the top 20</t>
  </si>
  <si>
    <t>Average of life_expectancy_country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</si>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</sst>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€&quot;"/>
    <numFmt numFmtId="165" formatCode="0;[Red]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22"/>
      <color theme="7"/>
      <name val="Algerian"/>
      <family val="5"/>
    </font>
    <font>
      <sz val="22"/>
      <color rgb="FFFF0000"/>
      <name val="Algerian"/>
      <family val="5"/>
    </font>
    <font>
      <sz val="22"/>
      <color rgb="FF92D050"/>
      <name val="Algerian"/>
      <family val="5"/>
    </font>
    <font>
      <sz val="22"/>
      <color rgb="FFC00000"/>
      <name val="Algerian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165" fontId="16" fillId="0" borderId="0" xfId="0" applyNumberFormat="1" applyFont="1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[Roseline Osigwe's Project.xlsx]ROSELINE'S SHEET!PivotTable1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'ROSELINE''S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'ROSELINE''S SHEET'!$A$4:$A$14</c:f>
              <c:strCache>
                <c:ptCount val="10"/>
                <c:pt idx="0">
                  <c:v>Bernard Arnault &amp; FemaleaMaleily</c:v>
                </c:pt>
                <c:pt idx="1">
                  <c:v>Elon Maleusk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BuFemaleFemaleett</c:v>
                </c:pt>
                <c:pt idx="5">
                  <c:v>Bill Gates</c:v>
                </c:pt>
                <c:pt idx="6">
                  <c:v>Maleichael BlooMaleberg</c:v>
                </c:pt>
                <c:pt idx="7">
                  <c:v>Carlos SliMale Helu &amp; FemaleaMaleily</c:v>
                </c:pt>
                <c:pt idx="8">
                  <c:v>Maleukesh AMalebani</c:v>
                </c:pt>
                <c:pt idx="9">
                  <c:v>Steve BallMaleer</c:v>
                </c:pt>
              </c:strCache>
            </c:strRef>
          </c:cat>
          <c:val>
            <c:numRef>
              <c:f>'ROSELINE''S SHEET'!$B$4:$B$14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21672896"/>
        <c:axId val="-1221671808"/>
      </c:barChart>
      <c:catAx>
        <c:axId val="-12216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671808"/>
        <c:crosses val="autoZero"/>
        <c:auto val="1"/>
        <c:lblAlgn val="ctr"/>
        <c:lblOffset val="100"/>
        <c:noMultiLvlLbl val="0"/>
      </c:catAx>
      <c:valAx>
        <c:axId val="-1221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167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[Roseline Osigwe's Project.xlsx]ROSELINE'S SHEET!PivotTable2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'ROSELINE''S SHEET'!$B$23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'ROSELINE''S SHEET'!$A$24:$A$64</c:f>
              <c:strCache>
                <c:ptCount val="40"/>
                <c:pt idx="0">
                  <c:v>United States</c:v>
                </c:pt>
                <c:pt idx="1">
                  <c:v>China</c:v>
                </c:pt>
                <c:pt idx="2">
                  <c:v>United KingdoMale</c:v>
                </c:pt>
                <c:pt idx="3">
                  <c:v>GerMaleany</c:v>
                </c:pt>
                <c:pt idx="4">
                  <c:v>India</c:v>
                </c:pt>
                <c:pt idx="5">
                  <c:v>Switzerland</c:v>
                </c:pt>
                <c:pt idx="6">
                  <c:v>Russia</c:v>
                </c:pt>
                <c:pt idx="7">
                  <c:v>Femalerance</c:v>
                </c:pt>
                <c:pt idx="8">
                  <c:v>Australia</c:v>
                </c:pt>
                <c:pt idx="9">
                  <c:v>Singapore</c:v>
                </c:pt>
                <c:pt idx="10">
                  <c:v>Italy</c:v>
                </c:pt>
                <c:pt idx="11">
                  <c:v>Canada</c:v>
                </c:pt>
                <c:pt idx="12">
                  <c:v>United Arab EMaleirates</c:v>
                </c:pt>
                <c:pt idx="13">
                  <c:v>DenMaleark</c:v>
                </c:pt>
                <c:pt idx="14">
                  <c:v>Sweden</c:v>
                </c:pt>
                <c:pt idx="15">
                  <c:v>Thailand</c:v>
                </c:pt>
                <c:pt idx="16">
                  <c:v>Austria</c:v>
                </c:pt>
                <c:pt idx="17">
                  <c:v>Japan</c:v>
                </c:pt>
                <c:pt idx="18">
                  <c:v>Indonesia</c:v>
                </c:pt>
                <c:pt idx="19">
                  <c:v>Israel</c:v>
                </c:pt>
                <c:pt idx="20">
                  <c:v>Maleexico</c:v>
                </c:pt>
                <c:pt idx="21">
                  <c:v>South Korea</c:v>
                </c:pt>
                <c:pt idx="22">
                  <c:v>Czech Republic</c:v>
                </c:pt>
                <c:pt idx="23">
                  <c:v>Nigeria</c:v>
                </c:pt>
                <c:pt idx="24">
                  <c:v>South AFemalerica</c:v>
                </c:pt>
                <c:pt idx="25">
                  <c:v>Philippines</c:v>
                </c:pt>
                <c:pt idx="26">
                  <c:v>Spain</c:v>
                </c:pt>
                <c:pt idx="27">
                  <c:v>Turkey</c:v>
                </c:pt>
                <c:pt idx="28">
                  <c:v>Netherlands</c:v>
                </c:pt>
                <c:pt idx="29">
                  <c:v>Malealaysia</c:v>
                </c:pt>
                <c:pt idx="30">
                  <c:v>Poland</c:v>
                </c:pt>
                <c:pt idx="31">
                  <c:v>Norway</c:v>
                </c:pt>
                <c:pt idx="32">
                  <c:v>ColoMalebia</c:v>
                </c:pt>
                <c:pt idx="33">
                  <c:v>Ukraine</c:v>
                </c:pt>
                <c:pt idx="34">
                  <c:v>New Zealand</c:v>
                </c:pt>
                <c:pt idx="35">
                  <c:v>Brazil</c:v>
                </c:pt>
                <c:pt idx="36">
                  <c:v>BelgiuMale</c:v>
                </c:pt>
                <c:pt idx="37">
                  <c:v>Egypt</c:v>
                </c:pt>
                <c:pt idx="38">
                  <c:v>Chile</c:v>
                </c:pt>
                <c:pt idx="39">
                  <c:v>(blank)</c:v>
                </c:pt>
              </c:strCache>
            </c:strRef>
          </c:cat>
          <c:val>
            <c:numRef>
              <c:f>'ROSELINE''S SHEET'!$B$24:$B$64</c:f>
              <c:numCache>
                <c:formatCode>General</c:formatCode>
                <c:ptCount val="40"/>
                <c:pt idx="0">
                  <c:v>190</c:v>
                </c:pt>
                <c:pt idx="1">
                  <c:v>73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[Roseline Osigwe's Project.xlsx]ROSELINE'S SHEET!PivotTable4</c:name>
    <c:fmtId val="1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'ROSELINE''S SHEET'!$B$99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'ROSELINE''S SHEET'!$A$100:$A$165</c:f>
              <c:strCache>
                <c:ptCount val="65"/>
                <c:pt idx="0">
                  <c:v>1964</c:v>
                </c:pt>
                <c:pt idx="1">
                  <c:v>1955</c:v>
                </c:pt>
                <c:pt idx="2">
                  <c:v>1951</c:v>
                </c:pt>
                <c:pt idx="3">
                  <c:v>1957</c:v>
                </c:pt>
                <c:pt idx="4">
                  <c:v>1945</c:v>
                </c:pt>
                <c:pt idx="5">
                  <c:v>1943</c:v>
                </c:pt>
                <c:pt idx="6">
                  <c:v>1967</c:v>
                </c:pt>
                <c:pt idx="7">
                  <c:v>1961</c:v>
                </c:pt>
                <c:pt idx="8">
                  <c:v>1965</c:v>
                </c:pt>
                <c:pt idx="9">
                  <c:v>1950</c:v>
                </c:pt>
                <c:pt idx="10">
                  <c:v>1962</c:v>
                </c:pt>
                <c:pt idx="11">
                  <c:v>1953</c:v>
                </c:pt>
                <c:pt idx="12">
                  <c:v>1952</c:v>
                </c:pt>
                <c:pt idx="13">
                  <c:v>1956</c:v>
                </c:pt>
                <c:pt idx="14">
                  <c:v>1938</c:v>
                </c:pt>
                <c:pt idx="15">
                  <c:v>1941</c:v>
                </c:pt>
                <c:pt idx="16">
                  <c:v>1949</c:v>
                </c:pt>
                <c:pt idx="17">
                  <c:v>1968</c:v>
                </c:pt>
                <c:pt idx="18">
                  <c:v>1963</c:v>
                </c:pt>
                <c:pt idx="19">
                  <c:v>1942</c:v>
                </c:pt>
                <c:pt idx="20">
                  <c:v>1947</c:v>
                </c:pt>
                <c:pt idx="21">
                  <c:v>1960</c:v>
                </c:pt>
                <c:pt idx="22">
                  <c:v>1954</c:v>
                </c:pt>
                <c:pt idx="23">
                  <c:v>1944</c:v>
                </c:pt>
                <c:pt idx="24">
                  <c:v>1970</c:v>
                </c:pt>
                <c:pt idx="25">
                  <c:v>1959</c:v>
                </c:pt>
                <c:pt idx="26">
                  <c:v>1948</c:v>
                </c:pt>
                <c:pt idx="27">
                  <c:v>1966</c:v>
                </c:pt>
                <c:pt idx="28">
                  <c:v>1971</c:v>
                </c:pt>
                <c:pt idx="29">
                  <c:v>1939</c:v>
                </c:pt>
                <c:pt idx="30">
                  <c:v>1969</c:v>
                </c:pt>
                <c:pt idx="31">
                  <c:v>1936</c:v>
                </c:pt>
                <c:pt idx="32">
                  <c:v>1930</c:v>
                </c:pt>
                <c:pt idx="33">
                  <c:v>1972</c:v>
                </c:pt>
                <c:pt idx="34">
                  <c:v>1937</c:v>
                </c:pt>
                <c:pt idx="35">
                  <c:v>1940</c:v>
                </c:pt>
                <c:pt idx="36">
                  <c:v>1946</c:v>
                </c:pt>
                <c:pt idx="37">
                  <c:v>1929</c:v>
                </c:pt>
                <c:pt idx="38">
                  <c:v>1933</c:v>
                </c:pt>
                <c:pt idx="39">
                  <c:v>1984</c:v>
                </c:pt>
                <c:pt idx="40">
                  <c:v>1934</c:v>
                </c:pt>
                <c:pt idx="41">
                  <c:v>1958</c:v>
                </c:pt>
                <c:pt idx="42">
                  <c:v>1981</c:v>
                </c:pt>
                <c:pt idx="43">
                  <c:v>1976</c:v>
                </c:pt>
                <c:pt idx="44">
                  <c:v>1935</c:v>
                </c:pt>
                <c:pt idx="45">
                  <c:v>1973</c:v>
                </c:pt>
                <c:pt idx="46">
                  <c:v>1979</c:v>
                </c:pt>
                <c:pt idx="47">
                  <c:v>1982</c:v>
                </c:pt>
                <c:pt idx="48">
                  <c:v>1931</c:v>
                </c:pt>
                <c:pt idx="49">
                  <c:v>1975</c:v>
                </c:pt>
                <c:pt idx="50">
                  <c:v>1980</c:v>
                </c:pt>
                <c:pt idx="51">
                  <c:v>1928</c:v>
                </c:pt>
                <c:pt idx="52">
                  <c:v>1983</c:v>
                </c:pt>
                <c:pt idx="53">
                  <c:v>1990</c:v>
                </c:pt>
                <c:pt idx="54">
                  <c:v>1986</c:v>
                </c:pt>
                <c:pt idx="55">
                  <c:v>1978</c:v>
                </c:pt>
                <c:pt idx="56">
                  <c:v>1974</c:v>
                </c:pt>
                <c:pt idx="57">
                  <c:v>1985</c:v>
                </c:pt>
                <c:pt idx="58">
                  <c:v>1992</c:v>
                </c:pt>
                <c:pt idx="59">
                  <c:v>1988</c:v>
                </c:pt>
                <c:pt idx="60">
                  <c:v>1932</c:v>
                </c:pt>
                <c:pt idx="61">
                  <c:v>1977</c:v>
                </c:pt>
                <c:pt idx="62">
                  <c:v>1926</c:v>
                </c:pt>
                <c:pt idx="63">
                  <c:v>1927</c:v>
                </c:pt>
                <c:pt idx="64">
                  <c:v>(blank)</c:v>
                </c:pt>
              </c:strCache>
            </c:strRef>
          </c:cat>
          <c:val>
            <c:numRef>
              <c:f>'ROSELINE''S SHEET'!$B$100:$B$165</c:f>
              <c:numCache>
                <c:formatCode>General</c:formatCode>
                <c:ptCount val="65"/>
                <c:pt idx="0">
                  <c:v>27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11765680"/>
        <c:axId val="-1211759152"/>
      </c:barChart>
      <c:catAx>
        <c:axId val="-12117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1759152"/>
        <c:crosses val="autoZero"/>
        <c:auto val="1"/>
        <c:lblAlgn val="ctr"/>
        <c:lblOffset val="100"/>
        <c:noMultiLvlLbl val="0"/>
      </c:catAx>
      <c:valAx>
        <c:axId val="-12117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17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204787</xdr:rowOff>
    </xdr:from>
    <xdr:to>
      <xdr:col>10</xdr:col>
      <xdr:colOff>381000</xdr:colOff>
      <xdr:row>14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22</xdr:row>
      <xdr:rowOff>195262</xdr:rowOff>
    </xdr:from>
    <xdr:to>
      <xdr:col>10</xdr:col>
      <xdr:colOff>104775</xdr:colOff>
      <xdr:row>36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595312</xdr:colOff>
      <xdr:row>97</xdr:row>
      <xdr:rowOff>138112</xdr:rowOff>
    </xdr:from>
    <xdr:to>
      <xdr:col>6</xdr:col>
      <xdr:colOff>376237</xdr:colOff>
      <xdr:row>110</xdr:row>
      <xdr:rowOff>100012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6.05406574074" createdVersion="5" refreshedVersion="5" minRefreshableVersion="3" recordCount="477">
  <cacheSource type="worksheet">
    <worksheetSource name="Table1"/>
  </cacheSource>
  <cacheFields count="21">
    <cacheField name="rank" numFmtId="0">
      <sharedItems containsString="0" containsBlank="1" containsNumber="1" containsInteger="1" minValue="1" maxValue="497"/>
    </cacheField>
    <cacheField name="category" numFmtId="0">
      <sharedItems containsBlank="1"/>
    </cacheField>
    <cacheField name="personNaMalee" numFmtId="0">
      <sharedItems containsBlank="1" count="477">
        <s v="Bernard Arnault &amp; FemaleaMaleily"/>
        <s v="Elon Maleusk"/>
        <s v="Jeff Bezos"/>
        <s v="Larry Ellison"/>
        <s v="Warren BuFemaleFemaleett"/>
        <s v="Bill Gates"/>
        <s v="Maleichael BlooMaleberg"/>
        <s v="Carlos SliMale Helu &amp; FemaleaMaleily"/>
        <s v="Maleukesh AMalebani"/>
        <s v="Steve BallMaleer"/>
        <s v="Femalerancoise Bettencourt Maleeyers &amp; FemaleaMaleily"/>
        <s v="Larry Page"/>
        <s v="AMaleancio Ortega"/>
        <s v="Sergey Brin"/>
        <s v="Zhong Shanshan"/>
        <s v="Maleark Zuckerberg"/>
        <s v="Charles Koch &amp; FemaleaMaleily"/>
        <s v="Julia Koch &amp; FemaleaMaleily"/>
        <s v="JiMale Walton"/>
        <s v="Rob Walton &amp; FemaleaMaleily"/>
        <s v="Alice Walton"/>
        <s v="David ThoMaleson &amp; FemaleaMaleily"/>
        <s v="Maleichael Dell"/>
        <s v="GautaMale Adani"/>
        <s v="Phil Knight &amp; FemaleaMaleily"/>
        <s v="Zhang YiMaleing"/>
        <s v="Dieter Schwarz"/>
        <s v="Femalerançois Pinault &amp; FemaleaMaleily"/>
        <s v="Klaus-Maleichael Kuehne"/>
        <s v="Giovanni Femaleerrero"/>
        <s v="Jacqueline Malears"/>
        <s v="John Malears"/>
        <s v="Malea Huateng"/>
        <s v="MaleiriaMale Adelson &amp; FemaleaMaleily"/>
        <s v="Ken GriFemaleFemalein"/>
        <s v="Maleark Maleateschitz"/>
        <s v="Robin Zeng"/>
        <s v="Tadashi Yanai &amp; FemaleaMaleily"/>
        <s v="Len Blavatnik"/>
        <s v="Alain WertheiMaleer"/>
        <s v="Gerard WertheiMaleer"/>
        <s v="Gianluigi Aponte"/>
        <s v="RaFemaleaela Aponte-DiaMaleant"/>
        <s v="Colin Zheng Huang"/>
        <s v="Reinhold Wuerth &amp; FemaleaMaleily"/>
        <s v="JeFemaleFemale Yass"/>
        <s v="JiMale SiMaleons"/>
        <s v="Stephen SchwarzMalean"/>
        <s v="Susanne Klatten"/>
        <s v="Gina Rinehart"/>
        <s v="WilliaMale Ding"/>
        <s v="GerMaleán Larrea Maleota Velasco &amp; FemaleaMaleily"/>
        <s v="Shiv Nadar"/>
        <s v="Low Tuck Kwong"/>
        <s v="ThoMaleas PeterFemaleFemaley"/>
        <s v="Andrey Maleelnichenko &amp; FemaleaMaleily"/>
        <s v="SteFemalean Quandt"/>
        <s v="MaleacKenzie Scott"/>
        <s v="R. Budi Hartono"/>
        <s v="VladiMaleir Potanin"/>
        <s v="Jack Malea"/>
        <s v="He Xiangjian &amp; FemaleaMaleily"/>
        <s v="Iris Femaleontbona &amp; FemaleaMaleily"/>
        <s v="Maleichael Hartono"/>
        <s v="JaMalees RatcliFemaleFemalee"/>
        <s v="Cyrus Poonawalla"/>
        <s v="Maleasayoshi Son"/>
        <s v="VladiMaleir Lisin"/>
        <s v="EMaleMaleanuel Besnier"/>
        <s v="Abigail Johnson"/>
        <s v="Leonid Maleikhelson &amp; FemaleaMaleily"/>
        <s v="Lukas Walton"/>
        <s v="Wang Wei"/>
        <s v="Jensen Huang"/>
        <s v="Leonard Lauder"/>
        <s v="TakeMaleitsu Takizaki"/>
        <s v="Alexey Maleordashov &amp; FemaleaMaleily"/>
        <s v="Vagit Alekperov"/>
        <s v="ThoMaleas Femalerist, Jr. &amp; FemaleaMaleily"/>
        <s v="Andrew Femaleorrest"/>
        <s v="Ray Dalio"/>
        <s v="Eric Li"/>
        <s v="Wang Wenyin"/>
        <s v="Qin Yinglin"/>
        <s v="Wang ChuanFemaleu"/>
        <s v="Harold HaMaleMale &amp; FemaleaMaleily"/>
        <s v="David Tepper"/>
        <s v="Gennady TiMalechenko"/>
        <s v="Daniel Gilbert"/>
        <s v="LakshMalei Maleittal"/>
        <s v="Steve Cohen"/>
        <s v="Carl Icahn"/>
        <s v="Savitri Jindal &amp; FemaleaMaleily"/>
        <s v="Donald Bren"/>
        <s v="John Maleenard, Jr."/>
        <s v="Rupert Maleurdoch &amp; FemaleaMaleily"/>
        <s v="Vicky SaFemalera &amp; FemaleaMaleily"/>
        <s v="Theo Albrecht, Jr. &amp; FemaleaMaleily"/>
        <s v="Renata Kellnerova &amp; FemaleaMaleily"/>
        <s v="Li Xiting"/>
        <s v="SteFemalean Persson"/>
        <s v="Eric SchMaleidt"/>
        <s v="Maleichael Platt"/>
        <s v="Pang Kang"/>
        <s v="Jorge Paulo LeMaleann &amp; FemaleaMaleily"/>
        <s v="Dilip Shanghvi"/>
        <s v="Robert Pera"/>
        <s v="Radhakishan DaMaleani"/>
        <s v="Huang Shilin"/>
        <s v="Dhanin Chearavanont"/>
        <s v="David Green &amp; FemaleaMaleily"/>
        <s v="Charoen Sirivadhanabhakdi"/>
        <s v="Charlene de Carvalho-Heineken &amp; FemaleaMaleily"/>
        <s v="Xu Hang"/>
        <s v="Wei Jianjun &amp; FemaleaMaleily"/>
        <s v="Goh Cheng Liang"/>
        <s v="KuMalear Birla"/>
        <s v="Aliko Dangote"/>
        <s v="Idan OFemaleer"/>
        <s v="Chen Bang"/>
        <s v="John Femaleredriksen"/>
        <s v="Diane Hendricks"/>
        <s v="Jan KouMale"/>
        <s v="Jerry Jones"/>
        <s v="George Kaiser"/>
        <s v="Lu Xiangyang"/>
        <s v="Harry TriguboFemaleFemale"/>
        <s v="Uday Kotak"/>
        <s v="Stanley Kroenke"/>
        <s v="Maleikhail FemaleridMalean"/>
        <s v="Sarath Ratanavadi"/>
        <s v="Dang Yanbao"/>
        <s v="Jiang Rensheng &amp; FemaleaMaleily"/>
        <s v="Shahid Khan"/>
        <s v="Laurene Powell Jobs &amp; FemaleaMaleily"/>
        <s v="Stephen Ross"/>
        <s v="Pavel Durov"/>
        <s v="Andreas StruengMaleann &amp; FemaleaMaleily"/>
        <s v="ThoMaleas StruengMaleann &amp; FemaleaMaleily"/>
        <s v="Liu Hanyuan"/>
        <s v="Maleichael Rubin"/>
        <s v="Israel Englander"/>
        <s v="Viatcheslav Kantor"/>
        <s v="Anthony Pratt"/>
        <s v="Maleikhail Prokhorov"/>
        <s v="Giorgio ArMaleani"/>
        <s v="Johann Rupert &amp; FemaleaMaleily"/>
        <s v="Zhang Zhidong"/>
        <s v="Philip Anschutz"/>
        <s v="Judy Love &amp; FemaleaMaleily"/>
        <s v="Ricardo Salinas Pliego &amp; FemaleaMaleily"/>
        <s v="Donald Newhouse"/>
        <s v="Robert KraFemalet"/>
        <s v="Malearcel HerrMaleann Telles"/>
        <s v="SuleiMalean KeriMaleov &amp; FemaleaMaleily"/>
        <s v="Sky Xu"/>
        <s v="Changpeng Zhao"/>
        <s v="Andrew Beal"/>
        <s v="Maleike Cannon-Brookes"/>
        <s v="Carl Cook"/>
        <s v="David DuFemaleFemaleield"/>
        <s v="JeFemaleFemaleery Hildebrand"/>
        <s v="Viktor Rashnikov"/>
        <s v="Eduardo Saverin"/>
        <s v="Georg SchaeFemaleFemaleler"/>
        <s v="Christy Walton"/>
        <s v="Scott Female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aleelker Schorling &amp; FemaleaMaleily"/>
        <s v="Andrei Guriev &amp; FemaleaMaleily"/>
        <s v="Maleichael KiMale"/>
        <s v="Lei Jun"/>
        <s v="FemaleriedhelMale Loh"/>
        <s v="Sun Piaoyang"/>
        <s v="Rick Cohen &amp; FemaleaMaleily"/>
        <s v="Jin BaoFemaleang"/>
        <s v="Luo Liguo &amp; FemaleaMaleily"/>
        <s v="Malearijke Malears"/>
        <s v="PaMaleela Malears"/>
        <s v="Valerie Malears"/>
        <s v="Victoria Malears"/>
        <s v="Vincent Bolloré &amp; FemaleaMaleily"/>
        <s v="JiMale Pattison"/>
        <s v="Ernesto Bertarelli"/>
        <s v="Wang Xing"/>
        <s v="Brian Chesky"/>
        <s v="JaMalees Dyson"/>
        <s v="RoMalean AbraMaleovich &amp; FemaleaMaleily"/>
        <s v="Antonia Ax:son Johnson &amp; FemaleaMaleily"/>
        <s v="Daniel Kretinsky"/>
        <s v="John Malealone"/>
        <s v="AziMale PreMaleji"/>
        <s v="Charles Schwab"/>
        <s v="Eric SMaleidt"/>
        <s v="David Cheriton"/>
        <s v="Ivan Glasenberg"/>
        <s v="Alexander Otto"/>
        <s v="Anthony von Maleandl"/>
        <s v="Wang Liping &amp; FemaleaMaleily"/>
        <s v="Femaleinn Rausing"/>
        <s v="Jorn Rausing"/>
        <s v="Kirsten Rausing"/>
        <s v="Tatyana Bakalchuk"/>
        <s v="John Doerr"/>
        <s v="Richard Liu"/>
        <s v="Dustin Maleoskovitz"/>
        <s v="Pierre OMaleidyar"/>
        <s v="Pei Zhenhua"/>
        <s v="Carrie Perrodo &amp; FemaleaMaleily"/>
        <s v="Chen Jianhua"/>
        <s v="Maleichael Otto"/>
        <s v="Leon Black"/>
        <s v="GraeMalee Hart"/>
        <s v="Ravi Jaipuria"/>
        <s v="Hasso Plattner &amp; FemaleaMaleily"/>
        <s v="Carlos Alberto Sicupira &amp; FemaleaMaleily"/>
        <s v="Maleanuel Villar"/>
        <s v="Andreas von BechtolsheiMale &amp; FemaleaMaleily"/>
        <s v="Chase ColeMalean, III."/>
        <s v="Ann Walton Kroenke"/>
        <s v="Li Zhenguo &amp; FemaleaMaleily"/>
        <s v="JiMale Kennedy"/>
        <s v="Nicky OppenheiMaleer &amp; FemaleaMaleily"/>
        <s v="Blair Parry-Okeden"/>
        <s v="Zheng Shuliang &amp; FemaleaMaleily"/>
        <s v="John Maleorris"/>
        <s v="GerMalean Khan"/>
        <s v="AbdulsaMalead Rabiu"/>
        <s v="George Roberts"/>
        <s v="Kushal Pal Singh"/>
        <s v="Wang Jianlin"/>
        <s v="Yang Huiyan &amp; FemaleaMaleily"/>
        <s v="Laurent Dassault"/>
        <s v="Thierry Dassault"/>
        <s v="TilMalean Femaleertitta"/>
        <s v="Malearie-Hélène Habert-Dassault"/>
        <s v="Karel KoMalearek"/>
        <s v="Nathan Blecharczyk"/>
        <s v="Leonid Femaleedun"/>
        <s v="Bernard Malearcus"/>
        <s v="Patrick Ryan"/>
        <s v="Robert Female. SMaleith"/>
        <s v="Pavel Tykac"/>
        <s v="Orlando Bravo"/>
        <s v="Ding Shizhong"/>
        <s v="Nancy Walton Laurie"/>
        <s v="Jay Y. Lee"/>
        <s v="RaMalezi MaleusallaMale"/>
        <s v="David Shaw"/>
        <s v="Andrei Skoch &amp; FemaleaMaleily"/>
        <s v="Georg StuMalepFemale"/>
        <s v="Rocco CoMaleMaleisso"/>
        <s v="Li Shuirong &amp; FemaleaMaleily"/>
        <s v="Qi Shi &amp; FemaleaMaleily"/>
        <s v="Yao Liangsong"/>
        <s v="Jean-Maleichel Besnier"/>
        <s v="Malearie Besnier Beauvalot"/>
        <s v="David GeFemaleFemaleen"/>
        <s v="Robin Li"/>
        <s v="Liu Yonghao &amp; FemaleaMaleily"/>
        <s v="Henry SaMaleueli"/>
        <s v="Reinhold SchMaleieding"/>
        <s v="Ivar TolleFemalesen"/>
        <s v="Cao Renxian"/>
        <s v="HasMaleukh Chudgar &amp; FemaleaMale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alees Goodnight"/>
        <s v="Sri Prakash Lohia"/>
        <s v="Malea Jianrong"/>
        <s v="Robert Ng"/>
        <s v="Steven Rales"/>
        <s v="NasseFemale Sawiris"/>
        <s v="Harry Stine"/>
        <s v="Benu Gopal Bangur"/>
        <s v="Iskander MaleakhMaleudov"/>
        <s v="Anders Holch Povlsen"/>
        <s v="Enrique Razon Jr."/>
        <s v="Wang Laichun"/>
        <s v="Arthur Dantchik"/>
        <s v="JeFemaleFemale Greene"/>
        <s v="Don Hankey"/>
        <s v="Richard Kinder"/>
        <s v="GuillauMalee Pousaz"/>
        <s v="Takahisa Takahara"/>
        <s v="Zong Qinghou"/>
        <s v="Judy Femaleaulkner"/>
        <s v="Johann GraFemale"/>
        <s v="TaMaleara Gustavson"/>
        <s v="Liang Wengen"/>
        <s v="Femalerederik Paulsen"/>
        <s v="Wee Cho Yaw"/>
        <s v="Zhang Hejun"/>
        <s v="Malearc BenioFemaleFemale"/>
        <s v="DMaleitri BukhMalean"/>
        <s v="Igor BukhMalean"/>
        <s v="Jack DangerMaleond"/>
        <s v="Ashwin Dani &amp; FemaleaMaleily"/>
        <s v="Ralph Lauren"/>
        <s v="Rohiqa Cyrus Maleistry"/>
        <s v="Shapoor Maleistry"/>
        <s v="J. Christopher Reyes"/>
        <s v="Jude Reyes"/>
        <s v="Don Vultaggio &amp; FemaleaMaleily"/>
        <s v="Edythe Broad &amp; FemaleaMaleily"/>
        <s v="Pauline MaleacMaleillan Keinath"/>
        <s v="Philippe LaFemaleFemaleont"/>
        <s v="Liu Jincheng &amp; FemaleaMaleily"/>
        <s v="Igor OlenicoFemaleFemale"/>
        <s v="Sandra Ortega Maleera"/>
        <s v="Ronda Stryker"/>
        <s v="Dannine Avara"/>
        <s v="Silvio Berlusconi &amp; FemaleaMaleily"/>
        <s v="Denise Coates"/>
        <s v="Scott Duncan"/>
        <s v="Maleilane Femalerantz"/>
        <s v="Edward Johnson, IV."/>
        <s v="Yuri Maleilner"/>
        <s v="Gordon Maleoore"/>
        <s v="John Overdeck"/>
        <s v="David Siegel"/>
        <s v="Viktor Vekselberg"/>
        <s v="Wang Laisheng"/>
        <s v="Randa Duncan WilliaMales"/>
        <s v="Ken Femaleisher"/>
        <s v="Christopher Hohn"/>
        <s v="Kjeld Kirk Kristiansen"/>
        <s v="SoFemaleie Kirk Kristiansen"/>
        <s v="ThoMaleas Kirk Kristiansen"/>
        <s v="MaleassiMaleiliana Landini Aleotti &amp; FemaleaMaleily"/>
        <s v="Li Ping"/>
        <s v="Lin Jianhua"/>
        <s v="Maleagdalena Maleartullo-Blocher"/>
        <s v="Xavier Niel"/>
        <s v="Terrence Pegula"/>
        <s v="Edward Roski, Jr."/>
        <s v="John A. Sobrato &amp; FemaleaMale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lean"/>
        <s v="Maleelinda Femalerench Gates"/>
        <s v="Annette Lerner &amp; FemaleaMaleily"/>
        <s v="David Reuben"/>
        <s v="Radovan Vitek"/>
        <s v="Carl Bennet"/>
        <s v="Stephen Bisciotti"/>
        <s v="Stanley DruckenMaleiller"/>
        <s v="Jian Jun"/>
        <s v="Alexei KuzMaleichev"/>
        <s v="Luis Carlos SarMaleiento"/>
        <s v="Dennis Washington"/>
        <s v="Anthony BaMaleFemaleord &amp; FemaleaMaleily"/>
        <s v="Gao JiFemalean &amp; FemaleaMaleily"/>
        <s v="John Grayken"/>
        <s v="Alain Maleerieux &amp; FemaleaMaleily"/>
        <s v="Wang Yusuo &amp; FemaleaMaleily"/>
        <s v="SteFemale WertheiMaleer &amp; FemaleaMaleily"/>
        <s v="Malearia Asuncion AraMaleburuzabala &amp; FemaleaMaleily"/>
        <s v="GustaFemale Douglas"/>
        <s v="Femalerits GoldschMaleeding"/>
        <s v="Lin Maleuqin &amp; FemaleaMaleily"/>
        <s v="Ruan Liping"/>
        <s v="Ruan Xueping"/>
        <s v="Maleichal Solowow"/>
        <s v="Maleike Adenuga"/>
        <s v="ToMale Gores"/>
        <s v="Maleichael Herz"/>
        <s v="WolFemalegang Herz"/>
        <s v="Alexander AbraMaleov"/>
        <s v="Neil BluhMale"/>
        <s v="Alain Bouchard"/>
        <s v="Jay Chaudhry"/>
        <s v="Gopikishan DaMaleani"/>
        <s v="SuMaleet Jiaravanon"/>
        <s v="Femalerank Lowy"/>
        <s v="Maleichael Maleilken"/>
        <s v="David Steward"/>
        <s v="Les Wexner &amp; FemaleaMaleily"/>
        <s v="Cai Kui"/>
        <s v="Jaran Chiaravanont"/>
        <s v="Andreas Halvorsen"/>
        <s v="Antony Ressler"/>
        <s v="Tsai Eng-Maleeng"/>
        <s v="Josh Harris"/>
        <s v="Niels Peter Louis-Hansen"/>
        <s v="Patrick Soon-Shiong"/>
        <s v="Rinat AkhMaleetov"/>
        <s v="John Brown"/>
        <s v="Arthur Irving"/>
        <s v="Femaleredrik Lundberg"/>
        <s v="ThoMaleas SchMaleidheiny"/>
        <s v="Daniel ZiFemaleFemale"/>
        <s v="Dirk ZiFemaleFemale"/>
        <s v="Robert ZiFemaleFemale"/>
        <s v="Ray Lee Hunt"/>
        <s v="Lai Maleeisong"/>
        <s v="VikraMale Lal &amp; FemaleaMaleily"/>
        <s v="Ken Langone"/>
        <s v="Li Ge"/>
        <s v="Karen Pritzker"/>
        <s v="Robert Rowling"/>
        <s v="Teddy Sagi"/>
        <s v="Seo Jung-jin"/>
        <s v="Wu Jianshu"/>
        <s v="Maleicky Arison"/>
        <s v="JaMalees ChaMalebers"/>
        <s v="John Collison"/>
        <s v="Patrick Collison"/>
        <s v="Archie Aldis EMaleMaleerson &amp; FemaleaMaleily"/>
        <s v="Piero Femaleerrari"/>
        <s v="Dan Femaleriedkin"/>
        <s v="JaMalees Irving"/>
        <s v="Jiang Weiping &amp; FemaleaMaleily"/>
        <s v="WolFemalegang Malearguerre &amp; FemaleaMaleily"/>
        <s v="Ludwig Maleerckle"/>
        <s v="Maleitchell Rales"/>
        <s v="Katharine Rayner"/>
        <s v="Paul Singer"/>
        <s v="Sergio Stevanato &amp; FemaleaMaleily"/>
        <s v="Maleargaretta Taylor"/>
        <s v="Richard White"/>
        <s v="Zhao Yan"/>
        <s v="Patrizio Bertelli"/>
        <s v="Maleahendra Choksi &amp; FemaleaMaleily"/>
        <s v="Maleat Ishbia"/>
        <s v="Leo Koguan"/>
        <s v="Maleiao Hangen"/>
        <s v="Maleichael Pieper"/>
        <s v="Maleiuccia Prada"/>
        <s v="WolFemalegang ReiMaleann"/>
        <s v="Maleatthias ReiMaleann-Andersen"/>
        <s v="SteFemalean ReiMaleann-Andersen"/>
        <s v="Renate ReiMaleann-Haas"/>
        <s v="Todd Boehly"/>
        <s v="Rick Caruso"/>
        <s v="IbrahiMale ErdeMaleoglu"/>
        <s v="Elizabeth Johnson"/>
        <s v="Douglas Leone"/>
        <s v="Prajogo Pangestu"/>
        <s v="ThoMaleas Pritzker"/>
        <s v="Lynda Resnick"/>
        <s v="Stewart Resnick"/>
        <s v="Gary Rollins"/>
        <s v="Maleark Walter"/>
        <s v="Ronald Wanek"/>
        <s v="Erich Wesjohann &amp; FemaleaMaleily"/>
        <s v="Male.A. YusuFemaleFemale Ali"/>
        <m/>
        <s v="JeFemaleFemale Bezos" u="1"/>
      </sharedItems>
    </cacheField>
    <cacheField name="country" numFmtId="0">
      <sharedItems containsBlank="1" count="40">
        <s v="Femalerance"/>
        <s v="United States"/>
        <s v="Maleexico"/>
        <s v="India"/>
        <s v="Spain"/>
        <s v="China"/>
        <s v="Canada"/>
        <s v="GerMaleany"/>
        <s v="Switzerland"/>
        <s v="BelgiuMale"/>
        <s v="Austria"/>
        <s v="Japan"/>
        <s v="United KingdoMale"/>
        <s v="Australia"/>
        <s v="Indonesia"/>
        <s v="United Arab EMaleirates"/>
        <s v="Russia"/>
        <s v="Chile"/>
        <s v="Czech Republic"/>
        <s v="Sweden"/>
        <s v="Thailand"/>
        <s v="Singapore"/>
        <s v="Nigeria"/>
        <s v="Israel"/>
        <s v="Italy"/>
        <s v="South AFemalerica"/>
        <s v="Brazil"/>
        <s v="Malealaysia"/>
        <s v="South Korea"/>
        <s v="New Zealand"/>
        <s v="Philippines"/>
        <s v="Norway"/>
        <s v="Egypt"/>
        <s v="DenMaleark"/>
        <s v="ColoMalebia"/>
        <s v="Netherlands"/>
        <s v="Poland"/>
        <s v="Ukraine"/>
        <s v="Turkey"/>
        <m/>
      </sharedItems>
    </cacheField>
    <cacheField name="city" numFmtId="0">
      <sharedItems containsBlank="1"/>
    </cacheField>
    <cacheField name="source" numFmtId="0">
      <sharedItems containsBlank="1"/>
    </cacheField>
    <cacheField name="industries" numFmtId="0">
      <sharedItems containsBlank="1" count="24">
        <s v="Fashion &amp; Retail"/>
        <s v="AutoMaleotive"/>
        <s v="Technology"/>
        <s v="Maintenance &amp; InvestMaleents"/>
        <s v="Maleedia &amp; EntertainMaleent"/>
        <s v="TelecoMale"/>
        <s v="Diversified"/>
        <s v="Food &amp; Beverage"/>
        <s v="Logistics"/>
        <s v="GaMalebling &amp; Casinos"/>
        <s v="Manufacturing"/>
        <s v="Maleetals &amp; Maleining"/>
        <s v="Energy"/>
        <s v="Healthcare"/>
        <s v="Service"/>
        <s v="Real Estate"/>
        <s v="Construction &amp; Engineering"/>
        <s v="Sports"/>
        <m/>
        <s v="Femaleashion &amp; Retail" u="1"/>
        <s v="Femaleood &amp; Beverage" u="1"/>
        <s v="MaleanuFemaleacturing" u="1"/>
        <s v="DiversiFemaleied" u="1"/>
        <s v="Femaleinance &amp; InvestMaleents" u="1"/>
      </sharedItems>
    </cacheField>
    <cacheField name="SelfMade" numFmtId="0">
      <sharedItems containsBlank="1"/>
    </cacheField>
    <cacheField name="gender" numFmtId="0">
      <sharedItems containsBlank="1"/>
    </cacheField>
    <cacheField name="lastName" numFmtId="0">
      <sharedItems containsBlank="1"/>
    </cacheField>
    <cacheField name="FirstNaMalee" numFmtId="0">
      <sharedItems containsBlank="1"/>
    </cacheField>
    <cacheField name="FinalWorth" numFmtId="0">
      <sharedItems containsString="0" containsBlank="1" containsNumber="1" containsInteger="1" minValue="5300" maxValue="211000"/>
    </cacheField>
    <cacheField name="birthYear" numFmtId="0">
      <sharedItems containsString="0" containsBlank="1" containsNumber="1" containsInteger="1" minValue="1926" maxValue="1992" count="65">
        <n v="1949"/>
        <n v="1971"/>
        <n v="1964"/>
        <n v="1944"/>
        <n v="1930"/>
        <n v="1955"/>
        <n v="1942"/>
        <n v="1940"/>
        <n v="1957"/>
        <n v="1956"/>
        <n v="1953"/>
        <n v="1973"/>
        <n v="1936"/>
        <n v="1954"/>
        <n v="1984"/>
        <n v="1935"/>
        <n v="1962"/>
        <n v="1948"/>
        <n v="1965"/>
        <n v="1938"/>
        <n v="1939"/>
        <n v="1937"/>
        <n v="1945"/>
        <n v="1968"/>
        <n v="1992"/>
        <n v="1969"/>
        <n v="1951"/>
        <n v="1980"/>
        <n v="1958"/>
        <n v="1947"/>
        <n v="1972"/>
        <n v="1966"/>
        <n v="1970"/>
        <n v="1941"/>
        <n v="1961"/>
        <n v="1943"/>
        <n v="1986"/>
        <n v="1963"/>
        <n v="1933"/>
        <n v="1950"/>
        <n v="1952"/>
        <n v="1932"/>
        <n v="1931"/>
        <n v="1967"/>
        <n v="1978"/>
        <n v="1927"/>
        <n v="1976"/>
        <n v="1959"/>
        <n v="1960"/>
        <n v="1934"/>
        <n v="1929"/>
        <n v="1977"/>
        <n v="1979"/>
        <n v="1982"/>
        <n v="1946"/>
        <n v="1928"/>
        <n v="1981"/>
        <n v="1975"/>
        <n v="1974"/>
        <n v="1983"/>
        <n v="1985"/>
        <n v="1926"/>
        <n v="1990"/>
        <n v="1988"/>
        <m/>
      </sharedItems>
    </cacheField>
    <cacheField name="birthMaleonth" numFmtId="0">
      <sharedItems containsString="0" containsBlank="1" containsNumber="1" containsInteger="1" minValue="1" maxValue="12"/>
    </cacheField>
    <cacheField name="birthDay" numFmtId="0">
      <sharedItems containsString="0" containsBlank="1" containsNumber="1" containsInteger="1" minValue="1" maxValue="31"/>
    </cacheField>
    <cacheField name="cpi_country" numFmtId="0">
      <sharedItems containsString="0" containsBlank="1" containsNumber="1" minValue="99.55" maxValue="288.57"/>
    </cacheField>
    <cacheField name="gdp_country" numFmtId="165">
      <sharedItems containsString="0" containsBlank="1" containsNumber="1" containsInteger="1" minValue="153781069118" maxValue="21427700000000"/>
    </cacheField>
    <cacheField name="liFemalee_expectancy_country" numFmtId="0">
      <sharedItems containsString="0" containsBlank="1" containsNumber="1" minValue="54.3" maxValue="84.2"/>
    </cacheField>
    <cacheField name="tax_revenue_country_country" numFmtId="0">
      <sharedItems containsString="0" containsBlank="1" containsNumber="1" minValue="0.1" maxValue="32.4"/>
    </cacheField>
    <cacheField name="total_tax_rate_country" numFmtId="0">
      <sharedItems containsString="0" containsBlank="1" containsNumber="1" minValue="15.9" maxValue="71.2"/>
    </cacheField>
    <cacheField name="population_country" numFmtId="0">
      <sharedItems containsString="0" containsBlank="1" containsNumber="1" containsInteger="1" minValue="4841000" maxValue="13977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7">
  <r>
    <n v="1"/>
    <s v="Fashion &amp; Retail"/>
    <x v="0"/>
    <x v="0"/>
    <s v="Paris"/>
    <s v="LVMaleH"/>
    <x v="0"/>
    <b v="0"/>
    <s v="Male"/>
    <s v="Arnault"/>
    <s v="Bernard"/>
    <n v="211000"/>
    <x v="0"/>
    <n v="3"/>
    <n v="5"/>
    <n v="110.05"/>
    <n v="2715518274227"/>
    <n v="82.5"/>
    <n v="24.2"/>
    <n v="60.7"/>
    <n v="67059887"/>
  </r>
  <r>
    <n v="2"/>
    <s v="AutoMaleotive"/>
    <x v="1"/>
    <x v="1"/>
    <s v="Austin"/>
    <s v="Tesla, SpaceX"/>
    <x v="1"/>
    <b v="1"/>
    <s v="Male"/>
    <s v="Musk"/>
    <s v="Elon"/>
    <n v="180000"/>
    <x v="1"/>
    <n v="6"/>
    <n v="28"/>
    <n v="117.24"/>
    <n v="21427700000000"/>
    <n v="78.5"/>
    <n v="9.6"/>
    <n v="36.6"/>
    <n v="328239523"/>
  </r>
  <r>
    <n v="3"/>
    <s v="Technology"/>
    <x v="2"/>
    <x v="1"/>
    <s v="Maleedina"/>
    <s v="AMaleazon"/>
    <x v="2"/>
    <b v="1"/>
    <s v="Male"/>
    <s v="Bezos"/>
    <s v="Jeff"/>
    <n v="114000"/>
    <x v="2"/>
    <n v="1"/>
    <n v="12"/>
    <n v="117.24"/>
    <n v="21427700000000"/>
    <n v="78.5"/>
    <n v="9.6"/>
    <n v="36.6"/>
    <n v="328239523"/>
  </r>
  <r>
    <n v="4"/>
    <s v="Technology"/>
    <x v="3"/>
    <x v="1"/>
    <s v="Lanai"/>
    <s v="Oracle"/>
    <x v="2"/>
    <b v="1"/>
    <s v="Male"/>
    <s v="Ellison"/>
    <s v="Larry"/>
    <n v="107000"/>
    <x v="3"/>
    <n v="8"/>
    <n v="17"/>
    <n v="117.24"/>
    <n v="21427700000000"/>
    <n v="78.5"/>
    <n v="9.6"/>
    <n v="36.6"/>
    <n v="328239523"/>
  </r>
  <r>
    <n v="5"/>
    <s v="Maintenance &amp; InvestMaleents"/>
    <x v="4"/>
    <x v="1"/>
    <s v="OMaleaha"/>
    <s v="Berkshire Hathaway"/>
    <x v="3"/>
    <b v="1"/>
    <s v="Male"/>
    <s v="BuFemaleFemaleett"/>
    <s v="Warren"/>
    <n v="106000"/>
    <x v="4"/>
    <n v="8"/>
    <n v="30"/>
    <n v="117.24"/>
    <n v="21427700000000"/>
    <n v="78.5"/>
    <n v="9.6"/>
    <n v="36.6"/>
    <n v="328239523"/>
  </r>
  <r>
    <n v="6"/>
    <s v="Technology"/>
    <x v="5"/>
    <x v="1"/>
    <s v="Maleedina"/>
    <s v="MaleicrosoFemalet"/>
    <x v="2"/>
    <b v="1"/>
    <s v="Male"/>
    <s v="Gates"/>
    <s v="Bill"/>
    <n v="104000"/>
    <x v="5"/>
    <n v="10"/>
    <n v="28"/>
    <n v="117.24"/>
    <n v="21427700000000"/>
    <n v="78.5"/>
    <n v="9.6"/>
    <n v="36.6"/>
    <n v="328239523"/>
  </r>
  <r>
    <n v="7"/>
    <s v="Maleedia &amp; EntertainMaleent"/>
    <x v="6"/>
    <x v="1"/>
    <s v="New York"/>
    <s v="BlooMaleberg LP"/>
    <x v="4"/>
    <b v="1"/>
    <s v="Male"/>
    <s v="BlooMaleberg"/>
    <s v="Michael"/>
    <n v="94500"/>
    <x v="6"/>
    <n v="2"/>
    <n v="14"/>
    <n v="117.24"/>
    <n v="21427700000000"/>
    <n v="78.5"/>
    <n v="9.6"/>
    <n v="36.6"/>
    <n v="328239523"/>
  </r>
  <r>
    <n v="8"/>
    <s v="TelecoMale"/>
    <x v="7"/>
    <x v="2"/>
    <s v="Maleexico City"/>
    <s v="TelecoMale"/>
    <x v="5"/>
    <b v="1"/>
    <s v="Male"/>
    <s v="SliMale Helu"/>
    <s v="Carlos"/>
    <n v="93000"/>
    <x v="7"/>
    <n v="1"/>
    <n v="28"/>
    <n v="141.54"/>
    <n v="1258286717125"/>
    <n v="75"/>
    <n v="13.1"/>
    <n v="55.1"/>
    <n v="126014024"/>
  </r>
  <r>
    <n v="9"/>
    <s v="Diversified"/>
    <x v="8"/>
    <x v="3"/>
    <s v="MaleuMalebai"/>
    <s v="Diversified"/>
    <x v="6"/>
    <b v="0"/>
    <s v="Male"/>
    <s v="AMalebani"/>
    <s v="Maleukesh"/>
    <n v="83400"/>
    <x v="8"/>
    <n v="4"/>
    <n v="19"/>
    <n v="180.44"/>
    <n v="2611000000000"/>
    <n v="69.400000000000006"/>
    <n v="11.2"/>
    <n v="49.7"/>
    <n v="1366417754"/>
  </r>
  <r>
    <n v="10"/>
    <s v="Technology"/>
    <x v="9"/>
    <x v="1"/>
    <s v="Hunts Point"/>
    <s v="MaleicrosoFemalet"/>
    <x v="2"/>
    <b v="1"/>
    <s v="Male"/>
    <s v="BallMaleer"/>
    <s v="Steve"/>
    <n v="80700"/>
    <x v="9"/>
    <n v="3"/>
    <n v="24"/>
    <n v="117.24"/>
    <n v="21427700000000"/>
    <n v="78.5"/>
    <n v="9.6"/>
    <n v="36.6"/>
    <n v="328239523"/>
  </r>
  <r>
    <n v="11"/>
    <s v="Fashion &amp; Retail"/>
    <x v="10"/>
    <x v="0"/>
    <s v="Paris"/>
    <s v="L'Oréal"/>
    <x v="0"/>
    <b v="0"/>
    <s v="Female"/>
    <s v="Bettencourt Maleeyers"/>
    <s v="Femalerancoise"/>
    <n v="80500"/>
    <x v="10"/>
    <n v="7"/>
    <n v="10"/>
    <n v="110.05"/>
    <n v="2715518274227"/>
    <n v="82.5"/>
    <n v="24.2"/>
    <n v="60.7"/>
    <n v="67059887"/>
  </r>
  <r>
    <n v="12"/>
    <s v="Technology"/>
    <x v="11"/>
    <x v="1"/>
    <s v="Palo Alto"/>
    <s v="Google"/>
    <x v="2"/>
    <b v="1"/>
    <s v="Male"/>
    <s v="Page"/>
    <s v="Larry"/>
    <n v="79200"/>
    <x v="11"/>
    <n v="3"/>
    <n v="26"/>
    <n v="117.24"/>
    <n v="21427700000000"/>
    <n v="78.5"/>
    <n v="9.6"/>
    <n v="36.6"/>
    <n v="328239523"/>
  </r>
  <r>
    <n v="13"/>
    <s v="Fashion &amp; Retail"/>
    <x v="12"/>
    <x v="4"/>
    <s v="La Coruna"/>
    <s v="Zara"/>
    <x v="0"/>
    <b v="1"/>
    <s v="Male"/>
    <s v="Ortega"/>
    <s v="AMaleancio"/>
    <n v="77300"/>
    <x v="12"/>
    <n v="3"/>
    <n v="28"/>
    <n v="110.96"/>
    <n v="1394116310769"/>
    <n v="83.3"/>
    <n v="14.2"/>
    <n v="47"/>
    <n v="47076781"/>
  </r>
  <r>
    <n v="14"/>
    <s v="Technology"/>
    <x v="13"/>
    <x v="1"/>
    <s v="Los Altos"/>
    <s v="Google"/>
    <x v="2"/>
    <b v="1"/>
    <s v="Male"/>
    <s v="Brin"/>
    <s v="Sergey"/>
    <n v="76000"/>
    <x v="11"/>
    <n v="8"/>
    <n v="21"/>
    <n v="117.24"/>
    <n v="21427700000000"/>
    <n v="78.5"/>
    <n v="9.6"/>
    <n v="36.6"/>
    <n v="328239523"/>
  </r>
  <r>
    <n v="15"/>
    <s v="Food &amp; Beverage"/>
    <x v="14"/>
    <x v="5"/>
    <s v="Hangzhou"/>
    <s v="Beverages, pharMaleaceuticals"/>
    <x v="7"/>
    <b v="1"/>
    <s v="Male"/>
    <s v="Zhong"/>
    <s v="Shanshan"/>
    <n v="68000"/>
    <x v="13"/>
    <n v="12"/>
    <n v="1"/>
    <n v="125.08"/>
    <n v="19910000000000"/>
    <n v="77"/>
    <n v="9.4"/>
    <n v="59.2"/>
    <n v="1397715000"/>
  </r>
  <r>
    <n v="16"/>
    <s v="Technology"/>
    <x v="15"/>
    <x v="1"/>
    <s v="Palo Alto"/>
    <s v="Femaleacebook"/>
    <x v="2"/>
    <b v="1"/>
    <s v="Male"/>
    <s v="Zuckerberg"/>
    <s v="Maleark"/>
    <n v="64400"/>
    <x v="14"/>
    <n v="5"/>
    <n v="14"/>
    <n v="117.24"/>
    <n v="21427700000000"/>
    <n v="78.5"/>
    <n v="9.6"/>
    <n v="36.6"/>
    <n v="328239523"/>
  </r>
  <r>
    <n v="17"/>
    <s v="Diversified"/>
    <x v="16"/>
    <x v="1"/>
    <s v="Wichita"/>
    <s v="Koch Industries"/>
    <x v="6"/>
    <b v="0"/>
    <s v="Male"/>
    <s v="Koch"/>
    <s v="Charles"/>
    <n v="59000"/>
    <x v="15"/>
    <n v="11"/>
    <n v="1"/>
    <n v="117.24"/>
    <n v="21427700000000"/>
    <n v="78.5"/>
    <n v="9.6"/>
    <n v="36.6"/>
    <n v="328239523"/>
  </r>
  <r>
    <n v="17"/>
    <s v="Diversified"/>
    <x v="17"/>
    <x v="1"/>
    <s v="New York"/>
    <s v="Koch Industries"/>
    <x v="6"/>
    <b v="0"/>
    <s v="Female"/>
    <s v="Koch"/>
    <s v="Julia"/>
    <n v="59000"/>
    <x v="16"/>
    <n v="4"/>
    <n v="12"/>
    <n v="117.24"/>
    <n v="21427700000000"/>
    <n v="78.5"/>
    <n v="9.6"/>
    <n v="36.6"/>
    <n v="328239523"/>
  </r>
  <r>
    <n v="19"/>
    <s v="Fashion &amp; Retail"/>
    <x v="18"/>
    <x v="1"/>
    <s v="Bentonville"/>
    <s v="WalMaleart"/>
    <x v="0"/>
    <b v="0"/>
    <s v="Male"/>
    <s v="Walton"/>
    <s v="JiMale"/>
    <n v="58800"/>
    <x v="17"/>
    <n v="6"/>
    <n v="7"/>
    <n v="117.24"/>
    <n v="21427700000000"/>
    <n v="78.5"/>
    <n v="9.6"/>
    <n v="36.6"/>
    <n v="328239523"/>
  </r>
  <r>
    <n v="20"/>
    <s v="Fashion &amp; Retail"/>
    <x v="19"/>
    <x v="1"/>
    <s v="Bentonville"/>
    <s v="WalMaleart"/>
    <x v="0"/>
    <b v="0"/>
    <s v="Male"/>
    <s v="Walton"/>
    <s v="Rob"/>
    <n v="57600"/>
    <x v="3"/>
    <n v="10"/>
    <n v="27"/>
    <n v="117.24"/>
    <n v="21427700000000"/>
    <n v="78.5"/>
    <n v="9.6"/>
    <n v="36.6"/>
    <n v="328239523"/>
  </r>
  <r>
    <n v="21"/>
    <s v="Fashion &amp; Retail"/>
    <x v="20"/>
    <x v="1"/>
    <s v="Femaleort Worth"/>
    <s v="WalMaleart"/>
    <x v="0"/>
    <b v="0"/>
    <s v="Female"/>
    <s v="Walton"/>
    <s v="Alice"/>
    <n v="56700"/>
    <x v="0"/>
    <n v="10"/>
    <n v="7"/>
    <n v="117.24"/>
    <n v="21427700000000"/>
    <n v="78.5"/>
    <n v="9.6"/>
    <n v="36.6"/>
    <n v="328239523"/>
  </r>
  <r>
    <n v="22"/>
    <s v="Maleedia &amp; EntertainMaleent"/>
    <x v="21"/>
    <x v="6"/>
    <s v="Toronto"/>
    <s v="Maleedia"/>
    <x v="4"/>
    <b v="0"/>
    <s v="Male"/>
    <s v="ThoMaleson"/>
    <s v="David"/>
    <n v="54400"/>
    <x v="8"/>
    <n v="6"/>
    <n v="12"/>
    <n v="116.76"/>
    <n v="1736425629520"/>
    <n v="81.900000000000006"/>
    <n v="12.8"/>
    <n v="24.5"/>
    <n v="36991981"/>
  </r>
  <r>
    <n v="23"/>
    <s v="Technology"/>
    <x v="22"/>
    <x v="1"/>
    <s v="Austin"/>
    <s v="Dell Technologies"/>
    <x v="2"/>
    <b v="1"/>
    <s v="Male"/>
    <s v="Dell"/>
    <s v="Maleichael"/>
    <n v="50100"/>
    <x v="18"/>
    <n v="2"/>
    <n v="23"/>
    <n v="117.24"/>
    <n v="21427700000000"/>
    <n v="78.5"/>
    <n v="9.6"/>
    <n v="36.6"/>
    <n v="328239523"/>
  </r>
  <r>
    <n v="24"/>
    <s v="Diversified"/>
    <x v="23"/>
    <x v="3"/>
    <s v="AhMaleedabad"/>
    <s v="InFemalerastructure, coMaleMaleodities"/>
    <x v="6"/>
    <b v="1"/>
    <s v="Male"/>
    <s v="Adani"/>
    <s v="GautaMale"/>
    <n v="47200"/>
    <x v="16"/>
    <n v="6"/>
    <n v="24"/>
    <n v="180.44"/>
    <n v="2611000000000"/>
    <n v="69.400000000000006"/>
    <n v="11.2"/>
    <n v="49.7"/>
    <n v="1366417754"/>
  </r>
  <r>
    <n v="25"/>
    <s v="Fashion &amp; Retail"/>
    <x v="24"/>
    <x v="1"/>
    <s v="Hillsboro"/>
    <s v="Nike"/>
    <x v="0"/>
    <b v="1"/>
    <s v="Male"/>
    <s v="Knight"/>
    <s v="Phil"/>
    <n v="45100"/>
    <x v="19"/>
    <n v="2"/>
    <n v="24"/>
    <n v="117.24"/>
    <n v="21427700000000"/>
    <n v="78.5"/>
    <n v="9.6"/>
    <n v="36.6"/>
    <n v="328239523"/>
  </r>
  <r>
    <n v="26"/>
    <s v="Technology"/>
    <x v="25"/>
    <x v="5"/>
    <s v="Beijing"/>
    <s v="TikTok"/>
    <x v="2"/>
    <b v="1"/>
    <s v="Male"/>
    <s v="Zhang"/>
    <s v="YiMaleing"/>
    <n v="45000"/>
    <x v="14"/>
    <n v="1"/>
    <n v="1"/>
    <n v="125.08"/>
    <n v="19910000000000"/>
    <n v="77"/>
    <n v="9.4"/>
    <n v="59.2"/>
    <n v="1397715000"/>
  </r>
  <r>
    <n v="27"/>
    <s v="Fashion &amp; Retail"/>
    <x v="26"/>
    <x v="7"/>
    <s v="NeckarsulMale"/>
    <s v="Retail"/>
    <x v="0"/>
    <b v="0"/>
    <s v="Male"/>
    <s v="Schwarz"/>
    <s v="Dieter"/>
    <n v="42900"/>
    <x v="20"/>
    <n v="9"/>
    <n v="24"/>
    <n v="112.85"/>
    <n v="3845630030824"/>
    <n v="80.900000000000006"/>
    <n v="11.5"/>
    <n v="48.8"/>
    <n v="83132799"/>
  </r>
  <r>
    <n v="28"/>
    <s v="Fashion &amp; Retail"/>
    <x v="27"/>
    <x v="0"/>
    <s v="Paris"/>
    <s v="Luxury goods"/>
    <x v="0"/>
    <b v="1"/>
    <s v="Male"/>
    <s v="Pinault"/>
    <s v="Femalerançois"/>
    <n v="40100"/>
    <x v="12"/>
    <n v="8"/>
    <n v="21"/>
    <n v="110.05"/>
    <n v="2715518274227"/>
    <n v="82.5"/>
    <n v="24.2"/>
    <n v="60.7"/>
    <n v="67059887"/>
  </r>
  <r>
    <n v="29"/>
    <s v="Logistics"/>
    <x v="28"/>
    <x v="8"/>
    <s v="Schindellegi"/>
    <s v="Shipping"/>
    <x v="8"/>
    <b v="0"/>
    <s v="Male"/>
    <s v="Kuehne"/>
    <s v="Klaus-Maleichael"/>
    <n v="39100"/>
    <x v="21"/>
    <n v="6"/>
    <n v="2"/>
    <n v="99.55"/>
    <n v="703082435360"/>
    <n v="83.6"/>
    <n v="10.1"/>
    <n v="28.8"/>
    <n v="8574832"/>
  </r>
  <r>
    <n v="30"/>
    <s v="Food &amp; Beverage"/>
    <x v="29"/>
    <x v="9"/>
    <s v="Brussels"/>
    <s v="Nutella, chocolates"/>
    <x v="7"/>
    <b v="0"/>
    <s v="Male"/>
    <s v="Femaleerrero"/>
    <s v="Giovanni"/>
    <n v="38900"/>
    <x v="2"/>
    <n v="9"/>
    <n v="21"/>
    <n v="117.11"/>
    <n v="529606710418"/>
    <n v="81.599999999999994"/>
    <n v="24"/>
    <n v="55.4"/>
    <n v="11484055"/>
  </r>
  <r>
    <n v="31"/>
    <s v="Food &amp; Beverage"/>
    <x v="30"/>
    <x v="1"/>
    <s v="The Plains"/>
    <s v="Candy, pet Femaleood"/>
    <x v="7"/>
    <b v="0"/>
    <s v="Female"/>
    <s v="Malears"/>
    <s v="Jacqueline"/>
    <n v="38300"/>
    <x v="20"/>
    <n v="10"/>
    <n v="10"/>
    <n v="117.24"/>
    <n v="21427700000000"/>
    <n v="78.5"/>
    <n v="9.6"/>
    <n v="36.6"/>
    <n v="328239523"/>
  </r>
  <r>
    <n v="31"/>
    <s v="Food &amp; Beverage"/>
    <x v="31"/>
    <x v="1"/>
    <s v="Jackson"/>
    <s v="Candy, pet Femaleood"/>
    <x v="7"/>
    <b v="0"/>
    <s v="Male"/>
    <s v="Malears"/>
    <s v="John"/>
    <n v="38300"/>
    <x v="15"/>
    <n v="10"/>
    <n v="15"/>
    <n v="117.24"/>
    <n v="21427700000000"/>
    <n v="78.5"/>
    <n v="9.6"/>
    <n v="36.6"/>
    <n v="328239523"/>
  </r>
  <r>
    <n v="34"/>
    <s v="Technology"/>
    <x v="32"/>
    <x v="5"/>
    <s v="Shenzhen"/>
    <s v="Internet Maleedia"/>
    <x v="2"/>
    <b v="1"/>
    <s v="Male"/>
    <s v="Malea"/>
    <s v="Huateng"/>
    <n v="35300"/>
    <x v="1"/>
    <n v="10"/>
    <n v="29"/>
    <n v="125.08"/>
    <n v="19910000000000"/>
    <n v="77"/>
    <n v="9.4"/>
    <n v="59.2"/>
    <n v="1397715000"/>
  </r>
  <r>
    <n v="35"/>
    <s v="GaMalebling &amp; Casinos"/>
    <x v="33"/>
    <x v="1"/>
    <s v="Las Vegas"/>
    <s v="Casinos"/>
    <x v="9"/>
    <b v="0"/>
    <s v="Female"/>
    <s v="Adelson"/>
    <s v="MaleiriaMale"/>
    <n v="35000"/>
    <x v="22"/>
    <n v="10"/>
    <n v="10"/>
    <n v="117.24"/>
    <n v="21427700000000"/>
    <n v="78.5"/>
    <n v="9.6"/>
    <n v="36.6"/>
    <n v="328239523"/>
  </r>
  <r>
    <n v="35"/>
    <s v="Maintenance &amp; InvestMaleents"/>
    <x v="34"/>
    <x v="1"/>
    <s v="MaleiaMalei"/>
    <s v="Hedge Femaleunds"/>
    <x v="3"/>
    <b v="1"/>
    <s v="Male"/>
    <s v="GriFemaleFemalein"/>
    <s v="Ken"/>
    <n v="35000"/>
    <x v="23"/>
    <n v="10"/>
    <n v="15"/>
    <n v="117.24"/>
    <n v="21427700000000"/>
    <n v="78.5"/>
    <n v="9.6"/>
    <n v="36.6"/>
    <n v="328239523"/>
  </r>
  <r>
    <n v="37"/>
    <s v="Food &amp; Beverage"/>
    <x v="35"/>
    <x v="10"/>
    <s v="Salzburg"/>
    <s v="Red Bull"/>
    <x v="7"/>
    <b v="0"/>
    <s v="Male"/>
    <s v="Maleateschitz"/>
    <s v="Maleark"/>
    <n v="34700"/>
    <x v="24"/>
    <n v="5"/>
    <n v="7"/>
    <n v="118.06"/>
    <n v="446314739528"/>
    <n v="81.599999999999994"/>
    <n v="25.4"/>
    <n v="51.4"/>
    <n v="8877067"/>
  </r>
  <r>
    <n v="38"/>
    <s v="AutoMaleotive"/>
    <x v="36"/>
    <x v="5"/>
    <s v="Ningde"/>
    <s v="Batteries"/>
    <x v="1"/>
    <b v="1"/>
    <s v="Male"/>
    <s v="Zeng"/>
    <s v="Robin"/>
    <n v="33400"/>
    <x v="25"/>
    <n v="1"/>
    <n v="1"/>
    <n v="125.08"/>
    <n v="19910000000000"/>
    <n v="77"/>
    <n v="9.4"/>
    <n v="59.2"/>
    <n v="1397715000"/>
  </r>
  <r>
    <n v="39"/>
    <s v="Fashion &amp; Retail"/>
    <x v="37"/>
    <x v="11"/>
    <s v="Tokyo"/>
    <s v="Femaleashion retail"/>
    <x v="0"/>
    <b v="1"/>
    <s v="Male"/>
    <s v="Yanai"/>
    <s v="Tadashi"/>
    <n v="32600"/>
    <x v="0"/>
    <n v="2"/>
    <n v="7"/>
    <n v="105.48"/>
    <n v="5081769542380"/>
    <n v="84.2"/>
    <n v="11.9"/>
    <n v="46.7"/>
    <n v="126226568"/>
  </r>
  <r>
    <n v="40"/>
    <s v="Diversified"/>
    <x v="38"/>
    <x v="12"/>
    <s v="London"/>
    <s v="Maleusic, cheMaleicals"/>
    <x v="6"/>
    <b v="1"/>
    <s v="Male"/>
    <s v="Blavatnik"/>
    <s v="Len"/>
    <n v="32100"/>
    <x v="8"/>
    <n v="6"/>
    <n v="1"/>
    <n v="119.62"/>
    <n v="2827113184696"/>
    <n v="81.3"/>
    <n v="25.5"/>
    <n v="30.6"/>
    <n v="66834405"/>
  </r>
  <r>
    <n v="41"/>
    <s v="Fashion &amp; Retail"/>
    <x v="39"/>
    <x v="1"/>
    <s v="New York"/>
    <s v="Chanel"/>
    <x v="0"/>
    <b v="0"/>
    <s v="Male"/>
    <s v="WertheiMaleer"/>
    <s v="Alain"/>
    <n v="31600"/>
    <x v="17"/>
    <n v="8"/>
    <n v="28"/>
    <n v="117.24"/>
    <n v="21427700000000"/>
    <n v="78.5"/>
    <n v="9.6"/>
    <n v="36.6"/>
    <n v="328239523"/>
  </r>
  <r>
    <n v="41"/>
    <s v="Fashion &amp; Retail"/>
    <x v="40"/>
    <x v="1"/>
    <s v="New York"/>
    <s v="Chanel"/>
    <x v="0"/>
    <b v="0"/>
    <s v="Male"/>
    <s v="WertheiMaleer"/>
    <s v="Gerard"/>
    <n v="31600"/>
    <x v="26"/>
    <n v="1"/>
    <n v="9"/>
    <n v="117.24"/>
    <n v="21427700000000"/>
    <n v="78.5"/>
    <n v="9.6"/>
    <n v="36.6"/>
    <n v="328239523"/>
  </r>
  <r>
    <n v="43"/>
    <s v="Logistics"/>
    <x v="41"/>
    <x v="8"/>
    <s v="Geneva"/>
    <s v="Shipping"/>
    <x v="8"/>
    <b v="1"/>
    <s v="Male"/>
    <s v="Aponte"/>
    <s v="Gianluigi"/>
    <n v="31200"/>
    <x v="7"/>
    <n v="6"/>
    <n v="27"/>
    <n v="99.55"/>
    <n v="703082435360"/>
    <n v="83.6"/>
    <n v="10.1"/>
    <n v="28.8"/>
    <n v="8574832"/>
  </r>
  <r>
    <n v="43"/>
    <s v="Logistics"/>
    <x v="42"/>
    <x v="8"/>
    <s v="Geneva"/>
    <s v="Shipping"/>
    <x v="8"/>
    <b v="1"/>
    <s v="Female"/>
    <s v="Aponte-DiaMaleant"/>
    <s v="RaFemaleaela"/>
    <n v="31200"/>
    <x v="22"/>
    <n v="3"/>
    <n v="26"/>
    <n v="99.55"/>
    <n v="703082435360"/>
    <n v="83.6"/>
    <n v="10.1"/>
    <n v="28.8"/>
    <n v="8574832"/>
  </r>
  <r>
    <n v="45"/>
    <s v="Technology"/>
    <x v="43"/>
    <x v="5"/>
    <s v="Shanghai"/>
    <s v="E-coMaleMaleerce"/>
    <x v="2"/>
    <b v="1"/>
    <s v="Male"/>
    <s v="Huang"/>
    <s v="Colin Zheng"/>
    <n v="30200"/>
    <x v="27"/>
    <n v="2"/>
    <n v="2"/>
    <n v="125.08"/>
    <n v="19910000000000"/>
    <n v="77"/>
    <n v="9.4"/>
    <n v="59.2"/>
    <n v="1397715000"/>
  </r>
  <r>
    <n v="46"/>
    <s v="Manufacturing"/>
    <x v="44"/>
    <x v="7"/>
    <s v="Kuenzelsau"/>
    <s v="Femaleasteners"/>
    <x v="10"/>
    <b v="1"/>
    <s v="Male"/>
    <s v="Wuerth"/>
    <s v="Reinhold"/>
    <n v="29700"/>
    <x v="15"/>
    <n v="4"/>
    <n v="20"/>
    <n v="112.85"/>
    <n v="3845630030824"/>
    <n v="80.900000000000006"/>
    <n v="11.5"/>
    <n v="48.8"/>
    <n v="83132799"/>
  </r>
  <r>
    <n v="48"/>
    <s v="Maintenance &amp; InvestMaleents"/>
    <x v="45"/>
    <x v="1"/>
    <s v="HaverFemaleord"/>
    <s v="Trading, investMaleents"/>
    <x v="3"/>
    <b v="1"/>
    <s v="Male"/>
    <s v="Yass"/>
    <s v="JeFemaleFemale"/>
    <n v="28500"/>
    <x v="28"/>
    <n v="7"/>
    <n v="17"/>
    <n v="117.24"/>
    <n v="21427700000000"/>
    <n v="78.5"/>
    <n v="9.6"/>
    <n v="36.6"/>
    <n v="328239523"/>
  </r>
  <r>
    <n v="49"/>
    <s v="Maintenance &amp; InvestMaleents"/>
    <x v="46"/>
    <x v="1"/>
    <s v="East Setauket"/>
    <s v="Hedge Femaleunds"/>
    <x v="3"/>
    <b v="1"/>
    <s v="Male"/>
    <s v="SiMaleons"/>
    <s v="JiMale"/>
    <n v="28100"/>
    <x v="19"/>
    <n v="4"/>
    <n v="25"/>
    <n v="117.24"/>
    <n v="21427700000000"/>
    <n v="78.5"/>
    <n v="9.6"/>
    <n v="36.6"/>
    <n v="328239523"/>
  </r>
  <r>
    <n v="50"/>
    <s v="Maintenance &amp; InvestMaleents"/>
    <x v="47"/>
    <x v="1"/>
    <s v="New York"/>
    <s v="InvestMaleents"/>
    <x v="3"/>
    <b v="1"/>
    <s v="Male"/>
    <s v="SchwarzMalean"/>
    <s v="Stephen"/>
    <n v="27800"/>
    <x v="29"/>
    <n v="2"/>
    <n v="14"/>
    <n v="117.24"/>
    <n v="21427700000000"/>
    <n v="78.5"/>
    <n v="9.6"/>
    <n v="36.6"/>
    <n v="328239523"/>
  </r>
  <r>
    <n v="51"/>
    <s v="AutoMaleotive"/>
    <x v="48"/>
    <x v="7"/>
    <s v="Bad HoMaleburg"/>
    <s v="BMaleW, pharMaleaceuticals"/>
    <x v="1"/>
    <b v="0"/>
    <s v="Female"/>
    <s v="Klatten"/>
    <s v="Susanne"/>
    <n v="27400"/>
    <x v="16"/>
    <n v="4"/>
    <n v="28"/>
    <n v="112.85"/>
    <n v="3845630030824"/>
    <n v="80.900000000000006"/>
    <n v="11.5"/>
    <n v="48.8"/>
    <n v="83132799"/>
  </r>
  <r>
    <n v="52"/>
    <s v="Maleetals &amp; Maleining"/>
    <x v="49"/>
    <x v="13"/>
    <s v="Perth"/>
    <s v="Maleining"/>
    <x v="11"/>
    <b v="0"/>
    <s v="Female"/>
    <s v="Rinehart"/>
    <s v="Gina"/>
    <n v="27000"/>
    <x v="13"/>
    <n v="2"/>
    <n v="9"/>
    <n v="119.8"/>
    <n v="1392680589329"/>
    <n v="82.7"/>
    <n v="23"/>
    <n v="47.4"/>
    <n v="25766605"/>
  </r>
  <r>
    <n v="53"/>
    <s v="Technology"/>
    <x v="50"/>
    <x v="5"/>
    <s v="Hangzhou"/>
    <s v="Online gaMalees"/>
    <x v="2"/>
    <b v="1"/>
    <s v="Male"/>
    <s v="Ding"/>
    <s v="WilliaMale"/>
    <n v="26700"/>
    <x v="1"/>
    <n v="10"/>
    <n v="1"/>
    <n v="125.08"/>
    <n v="19910000000000"/>
    <n v="77"/>
    <n v="9.4"/>
    <n v="59.2"/>
    <n v="1397715000"/>
  </r>
  <r>
    <n v="54"/>
    <s v="Maleetals &amp; Maleining"/>
    <x v="51"/>
    <x v="2"/>
    <s v="Maleexico City"/>
    <s v="Maleining"/>
    <x v="11"/>
    <b v="0"/>
    <s v="Male"/>
    <s v="Larrea Maleota Velasco"/>
    <s v="GerMaleán"/>
    <n v="26600"/>
    <x v="10"/>
    <n v="10"/>
    <n v="26"/>
    <n v="141.54"/>
    <n v="1258286717125"/>
    <n v="75"/>
    <n v="13.1"/>
    <n v="55.1"/>
    <n v="126014024"/>
  </r>
  <r>
    <n v="55"/>
    <s v="Technology"/>
    <x v="52"/>
    <x v="3"/>
    <s v="Delhi"/>
    <s v="soFemaletware services"/>
    <x v="2"/>
    <b v="1"/>
    <s v="Male"/>
    <s v="Nadar"/>
    <s v="Shiv"/>
    <n v="25600"/>
    <x v="22"/>
    <n v="7"/>
    <n v="18"/>
    <n v="180.44"/>
    <n v="2611000000000"/>
    <n v="69.400000000000006"/>
    <n v="11.2"/>
    <n v="49.7"/>
    <n v="1366417754"/>
  </r>
  <r>
    <n v="56"/>
    <s v="Energy"/>
    <x v="53"/>
    <x v="14"/>
    <s v="Jakarta"/>
    <s v="Coal"/>
    <x v="12"/>
    <b v="1"/>
    <s v="Male"/>
    <s v="Low Tuck"/>
    <s v="Kwong"/>
    <n v="25500"/>
    <x v="17"/>
    <n v="4"/>
    <n v="17"/>
    <n v="151.18"/>
    <n v="1119190780753"/>
    <n v="71.5"/>
    <n v="10.199999999999999"/>
    <n v="30.1"/>
    <n v="270203917"/>
  </r>
  <r>
    <n v="57"/>
    <s v="Maintenance &amp; InvestMaleents"/>
    <x v="54"/>
    <x v="1"/>
    <s v="PalMale Beach"/>
    <s v="Discount brokerage"/>
    <x v="3"/>
    <b v="1"/>
    <s v="Male"/>
    <s v="PeterFemaleFemaley"/>
    <s v="ThoMaleas"/>
    <n v="25300"/>
    <x v="3"/>
    <n v="9"/>
    <n v="30"/>
    <n v="117.24"/>
    <n v="21427700000000"/>
    <n v="78.5"/>
    <n v="9.6"/>
    <n v="36.6"/>
    <n v="328239523"/>
  </r>
  <r>
    <n v="58"/>
    <s v="Maleetals &amp; Maleining"/>
    <x v="55"/>
    <x v="15"/>
    <s v="Ras Al KhaiMaleah"/>
    <s v="Femaleertilizers, coal"/>
    <x v="11"/>
    <b v="1"/>
    <s v="Male"/>
    <s v="Maleelnichenko"/>
    <s v="Andrey"/>
    <n v="25200"/>
    <x v="30"/>
    <n v="3"/>
    <n v="8"/>
    <n v="114.52"/>
    <n v="421142267938"/>
    <n v="77.8"/>
    <n v="0.1"/>
    <n v="15.9"/>
    <n v="9770529"/>
  </r>
  <r>
    <n v="59"/>
    <s v="AutoMaleotive"/>
    <x v="56"/>
    <x v="7"/>
    <s v="FemalerankFemaleurt"/>
    <s v="BMaleW"/>
    <x v="1"/>
    <b v="0"/>
    <s v="Male"/>
    <s v="Quandt"/>
    <s v="SteFemalean"/>
    <n v="24600"/>
    <x v="31"/>
    <n v="5"/>
    <n v="9"/>
    <n v="112.85"/>
    <n v="3845630030824"/>
    <n v="80.900000000000006"/>
    <n v="11.5"/>
    <n v="48.8"/>
    <n v="83132799"/>
  </r>
  <r>
    <n v="60"/>
    <s v="Technology"/>
    <x v="57"/>
    <x v="1"/>
    <s v="Seattle"/>
    <s v="AMaleazon"/>
    <x v="2"/>
    <b v="0"/>
    <s v="Female"/>
    <s v="Scott"/>
    <s v="MaleacKenzie"/>
    <n v="24400"/>
    <x v="32"/>
    <n v="4"/>
    <n v="7"/>
    <n v="117.24"/>
    <n v="21427700000000"/>
    <n v="78.5"/>
    <n v="9.6"/>
    <n v="36.6"/>
    <n v="328239523"/>
  </r>
  <r>
    <n v="61"/>
    <s v="Maintenance &amp; InvestMaleents"/>
    <x v="58"/>
    <x v="14"/>
    <s v="Kudus"/>
    <s v="Banking, tobacco"/>
    <x v="3"/>
    <b v="0"/>
    <s v="Male"/>
    <s v="Hartono"/>
    <s v="R. Budi"/>
    <n v="24200"/>
    <x v="33"/>
    <n v="1"/>
    <n v="1"/>
    <n v="151.18"/>
    <n v="1119190780753"/>
    <n v="71.5"/>
    <n v="10.199999999999999"/>
    <n v="30.1"/>
    <n v="270203917"/>
  </r>
  <r>
    <n v="62"/>
    <s v="Maleetals &amp; Maleining"/>
    <x v="59"/>
    <x v="16"/>
    <s v="Maleoscow"/>
    <s v="Maleetals"/>
    <x v="11"/>
    <b v="1"/>
    <s v="Male"/>
    <s v="Potanin"/>
    <s v="VladiMaleir"/>
    <n v="23700"/>
    <x v="34"/>
    <n v="1"/>
    <n v="3"/>
    <n v="180.75"/>
    <n v="1699876578871"/>
    <n v="72.7"/>
    <n v="11.4"/>
    <n v="46.2"/>
    <n v="144373535"/>
  </r>
  <r>
    <n v="63"/>
    <s v="Technology"/>
    <x v="60"/>
    <x v="5"/>
    <s v="Hangzhou"/>
    <s v="E-coMaleMaleerce"/>
    <x v="2"/>
    <b v="1"/>
    <s v="Male"/>
    <s v="Malea"/>
    <s v="Jack"/>
    <n v="23500"/>
    <x v="2"/>
    <n v="9"/>
    <n v="10"/>
    <n v="125.08"/>
    <n v="19910000000000"/>
    <n v="77"/>
    <n v="9.4"/>
    <n v="59.2"/>
    <n v="1397715000"/>
  </r>
  <r>
    <n v="64"/>
    <s v="Manufacturing"/>
    <x v="61"/>
    <x v="5"/>
    <s v="Femaleoshan"/>
    <s v="HoMalee appliances"/>
    <x v="10"/>
    <b v="1"/>
    <s v="Male"/>
    <s v="He"/>
    <s v="Xiangjian"/>
    <n v="23400"/>
    <x v="6"/>
    <n v="8"/>
    <n v="11"/>
    <n v="125.08"/>
    <n v="19910000000000"/>
    <n v="77"/>
    <n v="9.4"/>
    <n v="59.2"/>
    <n v="1397715000"/>
  </r>
  <r>
    <n v="65"/>
    <s v="Maleetals &amp; Maleining"/>
    <x v="62"/>
    <x v="17"/>
    <s v="Santiago"/>
    <s v="Maleining"/>
    <x v="11"/>
    <b v="0"/>
    <s v="Female"/>
    <s v="Femaleontbona"/>
    <s v="Iris"/>
    <n v="23100"/>
    <x v="35"/>
    <n v="1"/>
    <n v="1"/>
    <n v="131.91"/>
    <n v="282318159745"/>
    <n v="80"/>
    <n v="18.2"/>
    <n v="34"/>
    <n v="18952038"/>
  </r>
  <r>
    <n v="65"/>
    <s v="Manufacturing"/>
    <x v="63"/>
    <x v="14"/>
    <s v="Kudus"/>
    <s v="Banking, tobacco"/>
    <x v="10"/>
    <b v="0"/>
    <s v="Male"/>
    <s v="Hartono"/>
    <s v="Maleichael"/>
    <n v="23100"/>
    <x v="20"/>
    <n v="10"/>
    <n v="2"/>
    <n v="151.18"/>
    <n v="1119190780753"/>
    <n v="71.5"/>
    <n v="10.199999999999999"/>
    <n v="30.1"/>
    <n v="270203917"/>
  </r>
  <r>
    <n v="67"/>
    <s v="Manufacturing"/>
    <x v="64"/>
    <x v="12"/>
    <s v="London"/>
    <s v="CheMaleicals"/>
    <x v="10"/>
    <b v="1"/>
    <s v="Male"/>
    <s v="RatcliFemaleFemalee"/>
    <s v="JaMalees"/>
    <n v="22900"/>
    <x v="10"/>
    <n v="1"/>
    <n v="1"/>
    <n v="119.62"/>
    <n v="2827113184696"/>
    <n v="81.3"/>
    <n v="25.5"/>
    <n v="30.6"/>
    <n v="66834405"/>
  </r>
  <r>
    <n v="68"/>
    <s v="Healthcare"/>
    <x v="65"/>
    <x v="3"/>
    <s v="Pune"/>
    <s v="Vaccines"/>
    <x v="13"/>
    <b v="0"/>
    <s v="Male"/>
    <s v="Poonawalla"/>
    <s v="Cyrus"/>
    <n v="22600"/>
    <x v="33"/>
    <n v="5"/>
    <n v="11"/>
    <n v="180.44"/>
    <n v="2611000000000"/>
    <n v="69.400000000000006"/>
    <n v="11.2"/>
    <n v="49.7"/>
    <n v="1366417754"/>
  </r>
  <r>
    <n v="69"/>
    <s v="TelecoMale"/>
    <x v="66"/>
    <x v="11"/>
    <s v="Tokyo"/>
    <s v="Internet, telecoMale"/>
    <x v="5"/>
    <b v="1"/>
    <s v="Male"/>
    <s v="Son"/>
    <s v="Maleasayoshi"/>
    <n v="22400"/>
    <x v="8"/>
    <n v="8"/>
    <n v="11"/>
    <n v="105.48"/>
    <n v="5081769542380"/>
    <n v="84.2"/>
    <n v="11.9"/>
    <n v="46.7"/>
    <n v="126226568"/>
  </r>
  <r>
    <n v="70"/>
    <s v="Maleetals &amp; Maleining"/>
    <x v="67"/>
    <x v="16"/>
    <s v="Maleoscow"/>
    <s v="Steel, transport"/>
    <x v="11"/>
    <b v="1"/>
    <s v="Male"/>
    <s v="Lisin"/>
    <s v="VladiMaleir"/>
    <n v="22100"/>
    <x v="9"/>
    <n v="5"/>
    <n v="7"/>
    <n v="180.75"/>
    <n v="1699876578871"/>
    <n v="72.7"/>
    <n v="11.4"/>
    <n v="46.2"/>
    <n v="144373535"/>
  </r>
  <r>
    <n v="71"/>
    <s v="Food &amp; Beverage"/>
    <x v="68"/>
    <x v="0"/>
    <s v="Laval"/>
    <s v="Cheese"/>
    <x v="7"/>
    <b v="0"/>
    <s v="Male"/>
    <s v="Besnier"/>
    <s v="EMaleMaleanuel"/>
    <n v="22000"/>
    <x v="32"/>
    <n v="9"/>
    <n v="18"/>
    <n v="110.05"/>
    <n v="2715518274227"/>
    <n v="82.5"/>
    <n v="24.2"/>
    <n v="60.7"/>
    <n v="67059887"/>
  </r>
  <r>
    <n v="72"/>
    <s v="Maintenance &amp; InvestMaleents"/>
    <x v="69"/>
    <x v="1"/>
    <s v="Maleilton"/>
    <s v="Femaleidelity"/>
    <x v="3"/>
    <b v="0"/>
    <s v="Female"/>
    <s v="Johnson"/>
    <s v="Abigail"/>
    <n v="21600"/>
    <x v="34"/>
    <n v="12"/>
    <n v="19"/>
    <n v="117.24"/>
    <n v="21427700000000"/>
    <n v="78.5"/>
    <n v="9.6"/>
    <n v="36.6"/>
    <n v="328239523"/>
  </r>
  <r>
    <n v="72"/>
    <s v="Energy"/>
    <x v="70"/>
    <x v="16"/>
    <s v="Maleoscow"/>
    <s v="Gas, cheMaleicals"/>
    <x v="12"/>
    <b v="1"/>
    <s v="Male"/>
    <s v="Maleikhelson"/>
    <s v="Leonid"/>
    <n v="21600"/>
    <x v="5"/>
    <n v="8"/>
    <n v="11"/>
    <n v="180.75"/>
    <n v="1699876578871"/>
    <n v="72.7"/>
    <n v="11.4"/>
    <n v="46.2"/>
    <n v="144373535"/>
  </r>
  <r>
    <n v="74"/>
    <s v="Fashion &amp; Retail"/>
    <x v="71"/>
    <x v="1"/>
    <s v="Chicago"/>
    <s v="WalMaleart"/>
    <x v="0"/>
    <b v="0"/>
    <s v="Male"/>
    <s v="Walton"/>
    <s v="Lukas"/>
    <n v="21200"/>
    <x v="36"/>
    <n v="9"/>
    <n v="19"/>
    <n v="117.24"/>
    <n v="21427700000000"/>
    <n v="78.5"/>
    <n v="9.6"/>
    <n v="36.6"/>
    <n v="328239523"/>
  </r>
  <r>
    <n v="74"/>
    <s v="Service"/>
    <x v="72"/>
    <x v="5"/>
    <s v="Shenzhen"/>
    <s v="Package delivery"/>
    <x v="14"/>
    <b v="1"/>
    <s v="Male"/>
    <s v="Wang"/>
    <s v="Wei"/>
    <n v="21200"/>
    <x v="32"/>
    <n v="10"/>
    <n v="1"/>
    <n v="125.08"/>
    <n v="19910000000000"/>
    <n v="77"/>
    <n v="9.4"/>
    <n v="59.2"/>
    <n v="1397715000"/>
  </r>
  <r>
    <n v="76"/>
    <s v="Technology"/>
    <x v="73"/>
    <x v="1"/>
    <s v="Los Altos"/>
    <s v="SeMaleiconductors"/>
    <x v="2"/>
    <b v="1"/>
    <s v="Male"/>
    <s v="Huang"/>
    <s v="Jensen"/>
    <n v="21100"/>
    <x v="37"/>
    <n v="2"/>
    <n v="17"/>
    <n v="117.24"/>
    <n v="21427700000000"/>
    <n v="78.5"/>
    <n v="9.6"/>
    <n v="36.6"/>
    <n v="328239523"/>
  </r>
  <r>
    <n v="77"/>
    <s v="Fashion &amp; Retail"/>
    <x v="74"/>
    <x v="1"/>
    <s v="New York"/>
    <s v="Estee Lauder"/>
    <x v="0"/>
    <b v="0"/>
    <s v="Male"/>
    <s v="Lauder"/>
    <s v="Leonard"/>
    <n v="21000"/>
    <x v="38"/>
    <n v="3"/>
    <n v="19"/>
    <n v="117.24"/>
    <n v="21427700000000"/>
    <n v="78.5"/>
    <n v="9.6"/>
    <n v="36.6"/>
    <n v="328239523"/>
  </r>
  <r>
    <n v="77"/>
    <s v="Manufacturing"/>
    <x v="75"/>
    <x v="11"/>
    <s v="Osaka"/>
    <s v="Sensors"/>
    <x v="10"/>
    <b v="1"/>
    <s v="Male"/>
    <s v="Takizaki"/>
    <s v="TakeMaleitsu"/>
    <n v="21000"/>
    <x v="22"/>
    <n v="6"/>
    <n v="10"/>
    <n v="105.48"/>
    <n v="5081769542380"/>
    <n v="84.2"/>
    <n v="11.9"/>
    <n v="46.7"/>
    <n v="126226568"/>
  </r>
  <r>
    <n v="79"/>
    <s v="Maleetals &amp; Maleining"/>
    <x v="76"/>
    <x v="16"/>
    <s v="Maleoscow"/>
    <s v="Steel, investMaleents"/>
    <x v="11"/>
    <b v="1"/>
    <s v="Male"/>
    <s v="Maleordashov"/>
    <s v="Alexey"/>
    <n v="20900"/>
    <x v="18"/>
    <n v="9"/>
    <n v="26"/>
    <n v="180.75"/>
    <n v="1699876578871"/>
    <n v="72.7"/>
    <n v="11.4"/>
    <n v="46.2"/>
    <n v="144373535"/>
  </r>
  <r>
    <n v="80"/>
    <s v="Energy"/>
    <x v="77"/>
    <x v="16"/>
    <s v="Maleoscow"/>
    <s v="Oil"/>
    <x v="12"/>
    <b v="1"/>
    <s v="Male"/>
    <s v="Alekperov"/>
    <s v="Vagit"/>
    <n v="20500"/>
    <x v="39"/>
    <n v="9"/>
    <n v="1"/>
    <n v="180.75"/>
    <n v="1699876578871"/>
    <n v="72.7"/>
    <n v="11.4"/>
    <n v="46.2"/>
    <n v="144373535"/>
  </r>
  <r>
    <n v="81"/>
    <s v="Healthcare"/>
    <x v="78"/>
    <x v="1"/>
    <s v="Nashville"/>
    <s v="Hospitals"/>
    <x v="13"/>
    <b v="1"/>
    <s v="Male"/>
    <s v="Femalerist"/>
    <s v="ThoMaleas"/>
    <n v="20200"/>
    <x v="19"/>
    <n v="8"/>
    <n v="12"/>
    <n v="117.24"/>
    <n v="21427700000000"/>
    <n v="78.5"/>
    <n v="9.6"/>
    <n v="36.6"/>
    <n v="328239523"/>
  </r>
  <r>
    <n v="82"/>
    <s v="Maleetals &amp; Maleining"/>
    <x v="79"/>
    <x v="13"/>
    <s v="Perth"/>
    <s v="Maleining"/>
    <x v="11"/>
    <b v="1"/>
    <s v="Male"/>
    <s v="Femaleorrest"/>
    <s v="Andrew"/>
    <n v="19600"/>
    <x v="34"/>
    <n v="11"/>
    <n v="18"/>
    <n v="119.8"/>
    <n v="1392680589329"/>
    <n v="82.7"/>
    <n v="23"/>
    <n v="47.4"/>
    <n v="25766605"/>
  </r>
  <r>
    <n v="83"/>
    <s v="Maintenance &amp; InvestMaleents"/>
    <x v="80"/>
    <x v="1"/>
    <s v="Greenwich"/>
    <s v="Hedge Femaleunds"/>
    <x v="3"/>
    <b v="1"/>
    <s v="Male"/>
    <s v="Dalio"/>
    <s v="Ray"/>
    <n v="19100"/>
    <x v="0"/>
    <n v="8"/>
    <n v="8"/>
    <n v="117.24"/>
    <n v="21427700000000"/>
    <n v="78.5"/>
    <n v="9.6"/>
    <n v="36.6"/>
    <n v="328239523"/>
  </r>
  <r>
    <n v="84"/>
    <s v="AutoMaleotive"/>
    <x v="81"/>
    <x v="5"/>
    <s v="Hangzhou"/>
    <s v="AutoMaleobiles"/>
    <x v="1"/>
    <b v="1"/>
    <s v="Male"/>
    <s v="Li"/>
    <s v="Eric"/>
    <n v="19000"/>
    <x v="37"/>
    <n v="6"/>
    <n v="1"/>
    <n v="125.08"/>
    <n v="19910000000000"/>
    <n v="77"/>
    <n v="9.4"/>
    <n v="59.2"/>
    <n v="1397715000"/>
  </r>
  <r>
    <n v="84"/>
    <s v="Maleetals &amp; Maleining"/>
    <x v="82"/>
    <x v="5"/>
    <s v="Shenzhen"/>
    <s v="Maleining, copper products"/>
    <x v="11"/>
    <b v="1"/>
    <s v="Male"/>
    <s v="Wang"/>
    <s v="Wenyin"/>
    <n v="19000"/>
    <x v="23"/>
    <n v="3"/>
    <n v="1"/>
    <n v="125.08"/>
    <n v="19910000000000"/>
    <n v="77"/>
    <n v="9.4"/>
    <n v="59.2"/>
    <n v="1397715000"/>
  </r>
  <r>
    <n v="86"/>
    <s v="Food &amp; Beverage"/>
    <x v="83"/>
    <x v="5"/>
    <s v="Nanyang"/>
    <s v="Pig breeding"/>
    <x v="7"/>
    <b v="1"/>
    <s v="Male"/>
    <s v="Qin"/>
    <s v="Yinglin"/>
    <n v="18900"/>
    <x v="18"/>
    <n v="4"/>
    <n v="17"/>
    <n v="125.08"/>
    <n v="19910000000000"/>
    <n v="77"/>
    <n v="9.4"/>
    <n v="59.2"/>
    <n v="1397715000"/>
  </r>
  <r>
    <n v="88"/>
    <s v="AutoMaleotive"/>
    <x v="84"/>
    <x v="5"/>
    <s v="Shenzhen"/>
    <s v="Batteries, autoMaleobiles"/>
    <x v="1"/>
    <b v="1"/>
    <s v="Male"/>
    <s v="Wang"/>
    <s v="ChuanFemaleu"/>
    <n v="18700"/>
    <x v="31"/>
    <n v="2"/>
    <n v="15"/>
    <n v="125.08"/>
    <n v="19910000000000"/>
    <n v="77"/>
    <n v="9.4"/>
    <n v="59.2"/>
    <n v="1397715000"/>
  </r>
  <r>
    <n v="89"/>
    <s v="Energy"/>
    <x v="85"/>
    <x v="1"/>
    <s v="OklahoMalea City"/>
    <s v="Oil &amp; gas"/>
    <x v="12"/>
    <b v="1"/>
    <s v="Male"/>
    <s v="HaMaleMale"/>
    <s v="Harold"/>
    <n v="18500"/>
    <x v="22"/>
    <n v="12"/>
    <n v="11"/>
    <n v="117.24"/>
    <n v="21427700000000"/>
    <n v="78.5"/>
    <n v="9.6"/>
    <n v="36.6"/>
    <n v="328239523"/>
  </r>
  <r>
    <n v="89"/>
    <s v="Maintenance &amp; InvestMaleents"/>
    <x v="86"/>
    <x v="1"/>
    <s v="PalMale Beach"/>
    <s v="Hedge Femaleunds"/>
    <x v="3"/>
    <b v="1"/>
    <s v="Male"/>
    <s v="Tepper"/>
    <s v="David"/>
    <n v="18500"/>
    <x v="8"/>
    <n v="9"/>
    <n v="11"/>
    <n v="117.24"/>
    <n v="21427700000000"/>
    <n v="78.5"/>
    <n v="9.6"/>
    <n v="36.6"/>
    <n v="328239523"/>
  </r>
  <r>
    <n v="89"/>
    <s v="Energy"/>
    <x v="87"/>
    <x v="16"/>
    <s v="Maleoscow"/>
    <s v="Oil, gas"/>
    <x v="12"/>
    <b v="1"/>
    <s v="Male"/>
    <s v="TiMalechenko"/>
    <s v="Gennady"/>
    <n v="18500"/>
    <x v="40"/>
    <n v="11"/>
    <n v="9"/>
    <n v="180.75"/>
    <n v="1699876578871"/>
    <n v="72.7"/>
    <n v="11.4"/>
    <n v="46.2"/>
    <n v="144373535"/>
  </r>
  <r>
    <n v="92"/>
    <s v="Maintenance &amp; InvestMaleents"/>
    <x v="88"/>
    <x v="1"/>
    <s v="Femaleranklin"/>
    <s v="Quicken Loans"/>
    <x v="3"/>
    <b v="1"/>
    <s v="Male"/>
    <s v="Gilbert"/>
    <s v="Daniel"/>
    <n v="18000"/>
    <x v="16"/>
    <n v="1"/>
    <n v="17"/>
    <n v="117.24"/>
    <n v="21427700000000"/>
    <n v="78.5"/>
    <n v="9.6"/>
    <n v="36.6"/>
    <n v="328239523"/>
  </r>
  <r>
    <n v="93"/>
    <s v="Maleetals &amp; Maleining"/>
    <x v="89"/>
    <x v="12"/>
    <s v="London"/>
    <s v="Steel"/>
    <x v="11"/>
    <b v="0"/>
    <s v="Male"/>
    <s v="Maleittal"/>
    <s v="LakshMalei"/>
    <n v="17700"/>
    <x v="39"/>
    <n v="6"/>
    <n v="15"/>
    <n v="119.62"/>
    <n v="2827113184696"/>
    <n v="81.3"/>
    <n v="25.5"/>
    <n v="30.6"/>
    <n v="66834405"/>
  </r>
  <r>
    <n v="94"/>
    <s v="Maintenance &amp; InvestMaleents"/>
    <x v="90"/>
    <x v="1"/>
    <s v="Greenwich"/>
    <s v="Hedge Femaleunds"/>
    <x v="3"/>
    <b v="1"/>
    <s v="Male"/>
    <s v="Cohen"/>
    <s v="Steve"/>
    <n v="17500"/>
    <x v="9"/>
    <n v="6"/>
    <n v="11"/>
    <n v="117.24"/>
    <n v="21427700000000"/>
    <n v="78.5"/>
    <n v="9.6"/>
    <n v="36.6"/>
    <n v="328239523"/>
  </r>
  <r>
    <n v="94"/>
    <s v="Maintenance &amp; InvestMaleents"/>
    <x v="91"/>
    <x v="1"/>
    <s v="Indian Creek"/>
    <s v="InvestMaleents"/>
    <x v="3"/>
    <b v="1"/>
    <s v="Male"/>
    <s v="Icahn"/>
    <s v="Carl"/>
    <n v="17500"/>
    <x v="12"/>
    <n v="2"/>
    <n v="16"/>
    <n v="117.24"/>
    <n v="21427700000000"/>
    <n v="78.5"/>
    <n v="9.6"/>
    <n v="36.6"/>
    <n v="328239523"/>
  </r>
  <r>
    <n v="94"/>
    <s v="Maleetals &amp; Maleining"/>
    <x v="92"/>
    <x v="3"/>
    <s v="Hisar"/>
    <s v="Steel"/>
    <x v="11"/>
    <b v="0"/>
    <s v="Female"/>
    <s v="Jindal"/>
    <s v="Savitri"/>
    <n v="17500"/>
    <x v="39"/>
    <n v="3"/>
    <n v="20"/>
    <n v="180.44"/>
    <n v="2611000000000"/>
    <n v="69.400000000000006"/>
    <n v="11.2"/>
    <n v="49.7"/>
    <n v="1366417754"/>
  </r>
  <r>
    <n v="97"/>
    <s v="Real Estate"/>
    <x v="93"/>
    <x v="1"/>
    <s v="Newport Beach"/>
    <s v="Real estate"/>
    <x v="15"/>
    <b v="1"/>
    <s v="Male"/>
    <s v="Bren"/>
    <s v="Donald"/>
    <n v="17400"/>
    <x v="41"/>
    <n v="5"/>
    <n v="11"/>
    <n v="117.24"/>
    <n v="21427700000000"/>
    <n v="78.5"/>
    <n v="9.6"/>
    <n v="36.6"/>
    <n v="328239523"/>
  </r>
  <r>
    <n v="97"/>
    <s v="Fashion &amp; Retail"/>
    <x v="94"/>
    <x v="1"/>
    <s v="Eau Claire"/>
    <s v="HoMalee iMaleproveMaleent stores"/>
    <x v="0"/>
    <b v="1"/>
    <s v="Male"/>
    <s v="Maleenard"/>
    <s v="John"/>
    <n v="17400"/>
    <x v="7"/>
    <n v="1"/>
    <n v="22"/>
    <n v="117.24"/>
    <n v="21427700000000"/>
    <n v="78.5"/>
    <n v="9.6"/>
    <n v="36.6"/>
    <n v="328239523"/>
  </r>
  <r>
    <n v="99"/>
    <s v="Maleedia &amp; EntertainMaleent"/>
    <x v="95"/>
    <x v="1"/>
    <s v="New York"/>
    <s v="Newspapers, TV network"/>
    <x v="4"/>
    <b v="0"/>
    <s v="Male"/>
    <s v="Maleurdoch"/>
    <s v="Rupert"/>
    <n v="17100"/>
    <x v="42"/>
    <n v="3"/>
    <n v="11"/>
    <n v="117.24"/>
    <n v="21427700000000"/>
    <n v="78.5"/>
    <n v="9.6"/>
    <n v="36.6"/>
    <n v="328239523"/>
  </r>
  <r>
    <n v="100"/>
    <s v="Maintenance &amp; InvestMaleents"/>
    <x v="96"/>
    <x v="8"/>
    <s v="Crans-Maleontana"/>
    <s v="Banking"/>
    <x v="3"/>
    <b v="0"/>
    <s v="Female"/>
    <s v="SaFemalera"/>
    <s v="Vicky"/>
    <n v="16700"/>
    <x v="10"/>
    <n v="1"/>
    <n v="1"/>
    <n v="99.55"/>
    <n v="703082435360"/>
    <n v="83.6"/>
    <n v="10.1"/>
    <n v="28.8"/>
    <n v="8574832"/>
  </r>
  <r>
    <n v="101"/>
    <s v="Fashion &amp; Retail"/>
    <x v="97"/>
    <x v="7"/>
    <s v="MaleulheiMale an der Ruhr"/>
    <s v="Aldi, Trader Joe's"/>
    <x v="0"/>
    <b v="0"/>
    <s v="Male"/>
    <s v="Albrecht"/>
    <s v="Theo"/>
    <n v="16500"/>
    <x v="26"/>
    <n v="1"/>
    <n v="1"/>
    <n v="112.85"/>
    <n v="3845630030824"/>
    <n v="80.900000000000006"/>
    <n v="11.5"/>
    <n v="48.8"/>
    <n v="83132799"/>
  </r>
  <r>
    <n v="101"/>
    <s v="Maintenance &amp; InvestMaleents"/>
    <x v="98"/>
    <x v="18"/>
    <s v="Prague"/>
    <s v="Maintenance, telecoMaleMaleunications"/>
    <x v="3"/>
    <b v="0"/>
    <s v="Female"/>
    <s v="Kellnerova"/>
    <s v="Renata"/>
    <n v="16500"/>
    <x v="43"/>
    <n v="7"/>
    <n v="4"/>
    <n v="116.48"/>
    <n v="246489245495"/>
    <n v="79"/>
    <n v="14.9"/>
    <n v="46.1"/>
    <n v="10669709"/>
  </r>
  <r>
    <n v="103"/>
    <s v="Healthcare"/>
    <x v="99"/>
    <x v="5"/>
    <s v="Shenzhen"/>
    <s v="Maleedical devices"/>
    <x v="13"/>
    <b v="1"/>
    <s v="Male"/>
    <s v="Li"/>
    <s v="Xiting"/>
    <n v="16300"/>
    <x v="26"/>
    <n v="1"/>
    <n v="1"/>
    <n v="125.08"/>
    <n v="19910000000000"/>
    <n v="77"/>
    <n v="9.4"/>
    <n v="59.2"/>
    <n v="1397715000"/>
  </r>
  <r>
    <n v="104"/>
    <s v="Fashion &amp; Retail"/>
    <x v="100"/>
    <x v="19"/>
    <s v="StockholMale"/>
    <s v="H&amp;Male"/>
    <x v="0"/>
    <b v="0"/>
    <s v="Male"/>
    <s v="Persson"/>
    <s v="SteFemalean"/>
    <n v="16200"/>
    <x v="29"/>
    <n v="10"/>
    <n v="4"/>
    <n v="110.51"/>
    <n v="530832908738"/>
    <n v="82.5"/>
    <n v="27.9"/>
    <n v="49.1"/>
    <n v="10285453"/>
  </r>
  <r>
    <n v="104"/>
    <s v="Technology"/>
    <x v="101"/>
    <x v="1"/>
    <s v="Atherton"/>
    <s v="Google"/>
    <x v="2"/>
    <b v="1"/>
    <s v="Male"/>
    <s v="SchMaleidt"/>
    <s v="Eric"/>
    <n v="16200"/>
    <x v="5"/>
    <n v="4"/>
    <n v="27"/>
    <n v="117.24"/>
    <n v="21427700000000"/>
    <n v="78.5"/>
    <n v="9.6"/>
    <n v="36.6"/>
    <n v="328239523"/>
  </r>
  <r>
    <n v="106"/>
    <s v="Maintenance &amp; InvestMaleents"/>
    <x v="102"/>
    <x v="8"/>
    <s v="Geneva"/>
    <s v="Hedge Femaleunds"/>
    <x v="3"/>
    <b v="1"/>
    <s v="Male"/>
    <s v="Platt"/>
    <s v="Maleichael"/>
    <n v="16000"/>
    <x v="23"/>
    <n v="3"/>
    <n v="18"/>
    <n v="99.55"/>
    <n v="703082435360"/>
    <n v="83.6"/>
    <n v="10.1"/>
    <n v="28.8"/>
    <n v="8574832"/>
  </r>
  <r>
    <n v="107"/>
    <s v="Food &amp; Beverage"/>
    <x v="103"/>
    <x v="5"/>
    <s v="Femaleoshan"/>
    <s v="Soy sauce"/>
    <x v="7"/>
    <b v="1"/>
    <s v="Male"/>
    <s v="Pang"/>
    <s v="Kang"/>
    <n v="15900"/>
    <x v="9"/>
    <n v="1"/>
    <n v="19"/>
    <n v="125.08"/>
    <n v="19910000000000"/>
    <n v="77"/>
    <n v="9.4"/>
    <n v="59.2"/>
    <n v="1397715000"/>
  </r>
  <r>
    <n v="108"/>
    <s v="Food &amp; Beverage"/>
    <x v="104"/>
    <x v="8"/>
    <s v="Zurich"/>
    <s v="Beer"/>
    <x v="7"/>
    <b v="1"/>
    <s v="Male"/>
    <s v="LeMaleann"/>
    <s v="Jorge Paulo"/>
    <n v="15800"/>
    <x v="20"/>
    <n v="8"/>
    <n v="26"/>
    <n v="99.55"/>
    <n v="703082435360"/>
    <n v="83.6"/>
    <n v="10.1"/>
    <n v="28.8"/>
    <n v="8574832"/>
  </r>
  <r>
    <n v="112"/>
    <s v="Healthcare"/>
    <x v="105"/>
    <x v="3"/>
    <s v="MaleuMalebai"/>
    <s v="PharMaleaceuticals"/>
    <x v="13"/>
    <b v="1"/>
    <s v="Male"/>
    <s v="Shanghvi"/>
    <s v="Dilip"/>
    <n v="15600"/>
    <x v="5"/>
    <n v="10"/>
    <n v="1"/>
    <n v="180.44"/>
    <n v="2611000000000"/>
    <n v="69.400000000000006"/>
    <n v="11.2"/>
    <n v="49.7"/>
    <n v="1366417754"/>
  </r>
  <r>
    <n v="113"/>
    <s v="Technology"/>
    <x v="106"/>
    <x v="1"/>
    <s v="San Jose"/>
    <s v="Wireless networking"/>
    <x v="2"/>
    <b v="1"/>
    <s v="Male"/>
    <s v="Pera"/>
    <s v="Robert"/>
    <n v="15500"/>
    <x v="44"/>
    <n v="3"/>
    <n v="10"/>
    <n v="117.24"/>
    <n v="21427700000000"/>
    <n v="78.5"/>
    <n v="9.6"/>
    <n v="36.6"/>
    <n v="328239523"/>
  </r>
  <r>
    <n v="114"/>
    <s v="Fashion &amp; Retail"/>
    <x v="107"/>
    <x v="3"/>
    <s v="MaleuMalebai"/>
    <s v="Retail, investMaleents"/>
    <x v="0"/>
    <b v="1"/>
    <s v="Male"/>
    <s v="DaMaleani"/>
    <s v="Radhakishan"/>
    <n v="15300"/>
    <x v="5"/>
    <n v="1"/>
    <n v="1"/>
    <n v="180.44"/>
    <n v="2611000000000"/>
    <n v="69.400000000000006"/>
    <n v="11.2"/>
    <n v="49.7"/>
    <n v="1366417754"/>
  </r>
  <r>
    <n v="115"/>
    <s v="AutoMaleotive"/>
    <x v="108"/>
    <x v="5"/>
    <s v="Ningde"/>
    <s v="Batteries"/>
    <x v="1"/>
    <b v="1"/>
    <s v="Male"/>
    <s v="Huang"/>
    <s v="Shilin"/>
    <n v="15200"/>
    <x v="43"/>
    <n v="1"/>
    <n v="1"/>
    <n v="125.08"/>
    <n v="19910000000000"/>
    <n v="77"/>
    <n v="9.4"/>
    <n v="59.2"/>
    <n v="1397715000"/>
  </r>
  <r>
    <n v="116"/>
    <s v="Diversified"/>
    <x v="109"/>
    <x v="20"/>
    <s v="Bangkok"/>
    <s v="Diversified"/>
    <x v="6"/>
    <b v="0"/>
    <s v="Male"/>
    <s v="Chearavanont"/>
    <s v="Dhanin"/>
    <n v="14900"/>
    <x v="20"/>
    <n v="4"/>
    <n v="19"/>
    <n v="113.27"/>
    <n v="543649976166"/>
    <n v="76.900000000000006"/>
    <n v="14.9"/>
    <n v="29.5"/>
    <n v="69625582"/>
  </r>
  <r>
    <n v="116"/>
    <s v="Fashion &amp; Retail"/>
    <x v="110"/>
    <x v="1"/>
    <s v="OklahoMalea City"/>
    <s v="Retail"/>
    <x v="0"/>
    <b v="1"/>
    <s v="Male"/>
    <s v="Green"/>
    <s v="David"/>
    <n v="14900"/>
    <x v="33"/>
    <n v="11"/>
    <n v="13"/>
    <n v="117.24"/>
    <n v="21427700000000"/>
    <n v="78.5"/>
    <n v="9.6"/>
    <n v="36.6"/>
    <n v="328239523"/>
  </r>
  <r>
    <n v="118"/>
    <s v="Food &amp; Beverage"/>
    <x v="111"/>
    <x v="20"/>
    <s v="Bangkok"/>
    <s v="Alcohol, real estate"/>
    <x v="7"/>
    <b v="1"/>
    <s v="Male"/>
    <s v="Sirivadhanabhakdi"/>
    <s v="Charoen"/>
    <n v="14800"/>
    <x v="3"/>
    <n v="5"/>
    <n v="2"/>
    <n v="113.27"/>
    <n v="543649976166"/>
    <n v="76.900000000000006"/>
    <n v="14.9"/>
    <n v="29.5"/>
    <n v="69625582"/>
  </r>
  <r>
    <n v="119"/>
    <s v="Food &amp; Beverage"/>
    <x v="112"/>
    <x v="12"/>
    <s v="London"/>
    <s v="Heineken"/>
    <x v="7"/>
    <b v="0"/>
    <s v="Female"/>
    <s v="de Carvalho-Heineken"/>
    <s v="Charlene"/>
    <n v="14700"/>
    <x v="13"/>
    <n v="6"/>
    <n v="30"/>
    <n v="119.62"/>
    <n v="2827113184696"/>
    <n v="81.3"/>
    <n v="25.5"/>
    <n v="30.6"/>
    <n v="66834405"/>
  </r>
  <r>
    <n v="120"/>
    <s v="Healthcare"/>
    <x v="113"/>
    <x v="5"/>
    <s v="Shenzhen"/>
    <s v="Maleedical devices"/>
    <x v="13"/>
    <b v="1"/>
    <s v="Male"/>
    <s v="Xu"/>
    <s v="Hang"/>
    <n v="14600"/>
    <x v="16"/>
    <n v="5"/>
    <n v="22"/>
    <n v="125.08"/>
    <n v="19910000000000"/>
    <n v="77"/>
    <n v="9.4"/>
    <n v="59.2"/>
    <n v="1397715000"/>
  </r>
  <r>
    <n v="121"/>
    <s v="AutoMaleotive"/>
    <x v="114"/>
    <x v="5"/>
    <s v="Baoding"/>
    <s v="AutoMaleobiles"/>
    <x v="1"/>
    <b v="1"/>
    <s v="Male"/>
    <s v="Wei"/>
    <s v="Jianjun"/>
    <n v="14500"/>
    <x v="2"/>
    <n v="3"/>
    <n v="1"/>
    <n v="125.08"/>
    <n v="19910000000000"/>
    <n v="77"/>
    <n v="9.4"/>
    <n v="59.2"/>
    <n v="1397715000"/>
  </r>
  <r>
    <n v="123"/>
    <s v="Manufacturing"/>
    <x v="115"/>
    <x v="21"/>
    <s v="Singapore"/>
    <s v="Paints"/>
    <x v="10"/>
    <b v="1"/>
    <s v="Male"/>
    <s v="Goh"/>
    <s v="Cheng Liang"/>
    <n v="14300"/>
    <x v="45"/>
    <n v="6"/>
    <n v="27"/>
    <n v="114.41"/>
    <n v="372062527489"/>
    <n v="83.1"/>
    <n v="13.1"/>
    <n v="21"/>
    <n v="5703569"/>
  </r>
  <r>
    <n v="124"/>
    <s v="Diversified"/>
    <x v="116"/>
    <x v="3"/>
    <s v="MaleuMalebai"/>
    <s v="CoMaleMaleodities"/>
    <x v="6"/>
    <b v="0"/>
    <s v="Male"/>
    <s v="Birla"/>
    <s v="KuMalear"/>
    <n v="14200"/>
    <x v="43"/>
    <n v="6"/>
    <n v="14"/>
    <n v="180.44"/>
    <n v="2611000000000"/>
    <n v="69.400000000000006"/>
    <n v="11.2"/>
    <n v="49.7"/>
    <n v="1366417754"/>
  </r>
  <r>
    <n v="124"/>
    <s v="Manufacturing"/>
    <x v="117"/>
    <x v="22"/>
    <s v="Lagos"/>
    <s v="CeMaleent, sugar"/>
    <x v="10"/>
    <b v="1"/>
    <s v="Male"/>
    <s v="Dangote"/>
    <s v="Aliko"/>
    <n v="14200"/>
    <x v="8"/>
    <n v="4"/>
    <n v="10"/>
    <n v="267.51"/>
    <n v="448120428859"/>
    <n v="54.3"/>
    <n v="1.5"/>
    <n v="34.799999999999997"/>
    <n v="200963599"/>
  </r>
  <r>
    <n v="127"/>
    <s v="Diversified"/>
    <x v="118"/>
    <x v="12"/>
    <s v="London"/>
    <s v="Shipping"/>
    <x v="6"/>
    <b v="0"/>
    <s v="Male"/>
    <s v="OFemaleer"/>
    <s v="Idan"/>
    <n v="14000"/>
    <x v="5"/>
    <n v="10"/>
    <n v="2"/>
    <n v="119.62"/>
    <n v="2827113184696"/>
    <n v="81.3"/>
    <n v="25.5"/>
    <n v="30.6"/>
    <n v="66834405"/>
  </r>
  <r>
    <n v="128"/>
    <s v="Healthcare"/>
    <x v="119"/>
    <x v="5"/>
    <s v="Changsha"/>
    <s v="Hospitals"/>
    <x v="13"/>
    <b v="1"/>
    <s v="Male"/>
    <s v="Chen"/>
    <s v="Bang"/>
    <n v="13900"/>
    <x v="18"/>
    <n v="9"/>
    <n v="1"/>
    <n v="125.08"/>
    <n v="19910000000000"/>
    <n v="77"/>
    <n v="9.4"/>
    <n v="59.2"/>
    <n v="1397715000"/>
  </r>
  <r>
    <n v="130"/>
    <s v="Logistics"/>
    <x v="120"/>
    <x v="12"/>
    <s v="London"/>
    <s v="Shipping"/>
    <x v="8"/>
    <b v="1"/>
    <s v="Male"/>
    <s v="Femaleredriksen"/>
    <s v="John"/>
    <n v="13700"/>
    <x v="22"/>
    <n v="2"/>
    <n v="1"/>
    <n v="119.62"/>
    <n v="2827113184696"/>
    <n v="81.3"/>
    <n v="25.5"/>
    <n v="30.6"/>
    <n v="66834405"/>
  </r>
  <r>
    <n v="130"/>
    <s v="Construction &amp; Engineering"/>
    <x v="121"/>
    <x v="1"/>
    <s v="AFemaleton"/>
    <s v="Building supplies"/>
    <x v="16"/>
    <b v="1"/>
    <s v="Female"/>
    <s v="Hendricks"/>
    <s v="Diane"/>
    <n v="13700"/>
    <x v="29"/>
    <n v="3"/>
    <n v="2"/>
    <n v="117.24"/>
    <n v="21427700000000"/>
    <n v="78.5"/>
    <n v="9.6"/>
    <n v="36.6"/>
    <n v="328239523"/>
  </r>
  <r>
    <n v="130"/>
    <s v="Technology"/>
    <x v="122"/>
    <x v="1"/>
    <s v="Atherton"/>
    <s v="WhatsApp"/>
    <x v="2"/>
    <b v="1"/>
    <s v="Male"/>
    <s v="KouMale"/>
    <s v="Jan"/>
    <n v="13700"/>
    <x v="46"/>
    <n v="2"/>
    <n v="24"/>
    <n v="117.24"/>
    <n v="21427700000000"/>
    <n v="78.5"/>
    <n v="9.6"/>
    <n v="36.6"/>
    <n v="328239523"/>
  </r>
  <r>
    <n v="133"/>
    <s v="Sports"/>
    <x v="123"/>
    <x v="1"/>
    <s v="Dallas"/>
    <s v="Dallas Cowboys"/>
    <x v="17"/>
    <b v="1"/>
    <s v="Male"/>
    <s v="Jones"/>
    <s v="Jerry"/>
    <n v="13300"/>
    <x v="6"/>
    <n v="10"/>
    <n v="13"/>
    <n v="117.24"/>
    <n v="21427700000000"/>
    <n v="78.5"/>
    <n v="9.6"/>
    <n v="36.6"/>
    <n v="328239523"/>
  </r>
  <r>
    <n v="133"/>
    <s v="Energy"/>
    <x v="124"/>
    <x v="1"/>
    <s v="Tulsa"/>
    <s v="Oil &amp; gas, banking"/>
    <x v="12"/>
    <b v="0"/>
    <s v="Male"/>
    <s v="Kaiser"/>
    <s v="George"/>
    <n v="13300"/>
    <x v="6"/>
    <n v="7"/>
    <n v="29"/>
    <n v="117.24"/>
    <n v="21427700000000"/>
    <n v="78.5"/>
    <n v="9.6"/>
    <n v="36.6"/>
    <n v="328239523"/>
  </r>
  <r>
    <n v="136"/>
    <s v="AutoMaleotive"/>
    <x v="125"/>
    <x v="5"/>
    <s v="Guangzhou"/>
    <s v="AutoMaleobiles, batteries"/>
    <x v="1"/>
    <b v="1"/>
    <s v="Male"/>
    <s v="Lu"/>
    <s v="Xiangyang"/>
    <n v="13200"/>
    <x v="16"/>
    <n v="12"/>
    <n v="28"/>
    <n v="125.08"/>
    <n v="19910000000000"/>
    <n v="77"/>
    <n v="9.4"/>
    <n v="59.2"/>
    <n v="1397715000"/>
  </r>
  <r>
    <n v="137"/>
    <s v="Real Estate"/>
    <x v="126"/>
    <x v="13"/>
    <s v="Sydney"/>
    <s v="Real estate"/>
    <x v="15"/>
    <b v="1"/>
    <s v="Male"/>
    <s v="TriguboFemaleFemale"/>
    <s v="Harry"/>
    <n v="13100"/>
    <x v="38"/>
    <n v="3"/>
    <n v="3"/>
    <n v="119.8"/>
    <n v="1392680589329"/>
    <n v="82.7"/>
    <n v="23"/>
    <n v="47.4"/>
    <n v="25766605"/>
  </r>
  <r>
    <n v="138"/>
    <s v="Maintenance &amp; InvestMaleents"/>
    <x v="127"/>
    <x v="3"/>
    <s v="MaleuMalebai"/>
    <s v="Banking"/>
    <x v="3"/>
    <b v="1"/>
    <s v="Male"/>
    <s v="Kotak"/>
    <s v="Uday"/>
    <n v="12900"/>
    <x v="47"/>
    <n v="3"/>
    <n v="15"/>
    <n v="180.44"/>
    <n v="2611000000000"/>
    <n v="69.400000000000006"/>
    <n v="11.2"/>
    <n v="49.7"/>
    <n v="1366417754"/>
  </r>
  <r>
    <n v="138"/>
    <s v="Sports"/>
    <x v="128"/>
    <x v="1"/>
    <s v="Electra"/>
    <s v="Sports, real estate"/>
    <x v="17"/>
    <b v="1"/>
    <s v="Male"/>
    <s v="Kroenke"/>
    <s v="Stanley"/>
    <n v="12900"/>
    <x v="29"/>
    <n v="7"/>
    <n v="29"/>
    <n v="117.24"/>
    <n v="21427700000000"/>
    <n v="78.5"/>
    <n v="9.6"/>
    <n v="36.6"/>
    <n v="328239523"/>
  </r>
  <r>
    <n v="140"/>
    <s v="Energy"/>
    <x v="129"/>
    <x v="12"/>
    <s v="London"/>
    <s v="Oil, banking, telecoMale"/>
    <x v="12"/>
    <b v="1"/>
    <s v="Male"/>
    <s v="FemaleridMalean"/>
    <s v="Maleikhail"/>
    <n v="12600"/>
    <x v="2"/>
    <n v="4"/>
    <n v="21"/>
    <n v="119.62"/>
    <n v="2827113184696"/>
    <n v="81.3"/>
    <n v="25.5"/>
    <n v="30.6"/>
    <n v="66834405"/>
  </r>
  <r>
    <n v="141"/>
    <s v="Energy"/>
    <x v="130"/>
    <x v="20"/>
    <s v="Bangkok"/>
    <s v="Energy"/>
    <x v="12"/>
    <b v="1"/>
    <s v="Male"/>
    <s v="Ratanavadi"/>
    <s v="Sarath"/>
    <n v="12300"/>
    <x v="18"/>
    <n v="7"/>
    <n v="12"/>
    <n v="113.27"/>
    <n v="543649976166"/>
    <n v="76.900000000000006"/>
    <n v="14.9"/>
    <n v="29.5"/>
    <n v="69625582"/>
  </r>
  <r>
    <n v="142"/>
    <s v="Maleetals &amp; Maleining"/>
    <x v="131"/>
    <x v="5"/>
    <s v="Yinchuan"/>
    <s v="Coal"/>
    <x v="11"/>
    <b v="1"/>
    <s v="Male"/>
    <s v="Dang"/>
    <s v="Yanbao"/>
    <n v="12200"/>
    <x v="11"/>
    <n v="2"/>
    <n v="1"/>
    <n v="125.08"/>
    <n v="19910000000000"/>
    <n v="77"/>
    <n v="9.4"/>
    <n v="59.2"/>
    <n v="1397715000"/>
  </r>
  <r>
    <n v="142"/>
    <s v="Healthcare"/>
    <x v="132"/>
    <x v="5"/>
    <s v="Chongqing"/>
    <s v="Vaccines"/>
    <x v="13"/>
    <b v="1"/>
    <s v="Male"/>
    <s v="Jiang"/>
    <s v="Rensheng"/>
    <n v="12200"/>
    <x v="10"/>
    <n v="10"/>
    <n v="8"/>
    <n v="125.08"/>
    <n v="19910000000000"/>
    <n v="77"/>
    <n v="9.4"/>
    <n v="59.2"/>
    <n v="1397715000"/>
  </r>
  <r>
    <n v="144"/>
    <s v="AutoMaleotive"/>
    <x v="133"/>
    <x v="1"/>
    <s v="Naples"/>
    <s v="Auto parts"/>
    <x v="1"/>
    <b v="1"/>
    <s v="Male"/>
    <s v="Khan"/>
    <s v="Shahid"/>
    <n v="12100"/>
    <x v="39"/>
    <n v="7"/>
    <n v="18"/>
    <n v="117.24"/>
    <n v="21427700000000"/>
    <n v="78.5"/>
    <n v="9.6"/>
    <n v="36.6"/>
    <n v="328239523"/>
  </r>
  <r>
    <n v="145"/>
    <s v="Technology"/>
    <x v="134"/>
    <x v="1"/>
    <s v="Palo Alto"/>
    <s v="Apple, Disney"/>
    <x v="2"/>
    <b v="0"/>
    <s v="Female"/>
    <s v="Powell Jobs"/>
    <s v="Laurene"/>
    <n v="12000"/>
    <x v="37"/>
    <n v="11"/>
    <n v="6"/>
    <n v="117.24"/>
    <n v="21427700000000"/>
    <n v="78.5"/>
    <n v="9.6"/>
    <n v="36.6"/>
    <n v="328239523"/>
  </r>
  <r>
    <n v="147"/>
    <s v="Real Estate"/>
    <x v="135"/>
    <x v="1"/>
    <s v="New York"/>
    <s v="Real estate"/>
    <x v="15"/>
    <b v="1"/>
    <s v="Male"/>
    <s v="Ross"/>
    <s v="Stephen"/>
    <n v="11600"/>
    <x v="7"/>
    <n v="5"/>
    <n v="10"/>
    <n v="117.24"/>
    <n v="21427700000000"/>
    <n v="78.5"/>
    <n v="9.6"/>
    <n v="36.6"/>
    <n v="328239523"/>
  </r>
  <r>
    <n v="148"/>
    <s v="Technology"/>
    <x v="136"/>
    <x v="15"/>
    <s v="Dubai"/>
    <s v="Maleessaging app"/>
    <x v="2"/>
    <b v="1"/>
    <s v="Male"/>
    <s v="Durov"/>
    <s v="Pavel"/>
    <n v="11500"/>
    <x v="14"/>
    <n v="10"/>
    <n v="10"/>
    <n v="114.52"/>
    <n v="421142267938"/>
    <n v="77.8"/>
    <n v="0.1"/>
    <n v="15.9"/>
    <n v="9770529"/>
  </r>
  <r>
    <n v="148"/>
    <s v="Healthcare"/>
    <x v="137"/>
    <x v="7"/>
    <s v="Tegernsee"/>
    <s v="PharMaleaceuticals"/>
    <x v="13"/>
    <b v="1"/>
    <s v="Male"/>
    <s v="StruengMaleann"/>
    <s v="Andreas"/>
    <n v="11500"/>
    <x v="39"/>
    <n v="2"/>
    <n v="16"/>
    <n v="112.85"/>
    <n v="3845630030824"/>
    <n v="80.900000000000006"/>
    <n v="11.5"/>
    <n v="48.8"/>
    <n v="83132799"/>
  </r>
  <r>
    <n v="148"/>
    <s v="Healthcare"/>
    <x v="138"/>
    <x v="7"/>
    <s v="Tegernsee"/>
    <s v="PharMaleaceuticals"/>
    <x v="13"/>
    <b v="1"/>
    <s v="Male"/>
    <s v="StruengMaleann"/>
    <s v="ThoMaleas"/>
    <n v="11500"/>
    <x v="39"/>
    <n v="2"/>
    <n v="16"/>
    <n v="112.85"/>
    <n v="3845630030824"/>
    <n v="80.900000000000006"/>
    <n v="11.5"/>
    <n v="48.8"/>
    <n v="83132799"/>
  </r>
  <r>
    <n v="151"/>
    <s v="Food &amp; Beverage"/>
    <x v="139"/>
    <x v="5"/>
    <s v="Chengdu"/>
    <s v="Agribusiness"/>
    <x v="7"/>
    <b v="1"/>
    <s v="Male"/>
    <s v="Liu"/>
    <s v="Hanyuan"/>
    <n v="11400"/>
    <x v="2"/>
    <n v="1"/>
    <n v="1"/>
    <n v="125.08"/>
    <n v="19910000000000"/>
    <n v="77"/>
    <n v="9.4"/>
    <n v="59.2"/>
    <n v="1397715000"/>
  </r>
  <r>
    <n v="151"/>
    <s v="Fashion &amp; Retail"/>
    <x v="140"/>
    <x v="1"/>
    <s v="Bryn Maleawr"/>
    <s v="Online retail"/>
    <x v="0"/>
    <b v="1"/>
    <s v="Male"/>
    <s v="Rubin"/>
    <s v="Maleichael"/>
    <n v="11400"/>
    <x v="30"/>
    <n v="7"/>
    <n v="21"/>
    <n v="117.24"/>
    <n v="21427700000000"/>
    <n v="78.5"/>
    <n v="9.6"/>
    <n v="36.6"/>
    <n v="328239523"/>
  </r>
  <r>
    <n v="153"/>
    <s v="Maintenance &amp; InvestMaleents"/>
    <x v="141"/>
    <x v="1"/>
    <s v="New York"/>
    <s v="Hedge Femaleunds"/>
    <x v="3"/>
    <b v="1"/>
    <s v="Male"/>
    <s v="Englander"/>
    <s v="Israel"/>
    <n v="11300"/>
    <x v="17"/>
    <n v="9"/>
    <n v="30"/>
    <n v="117.24"/>
    <n v="21427700000000"/>
    <n v="78.5"/>
    <n v="9.6"/>
    <n v="36.6"/>
    <n v="328239523"/>
  </r>
  <r>
    <n v="153"/>
    <s v="Manufacturing"/>
    <x v="142"/>
    <x v="23"/>
    <s v="Herzliya"/>
    <s v="Femaleertilizer, real estate"/>
    <x v="10"/>
    <b v="1"/>
    <s v="Male"/>
    <s v="Kantor"/>
    <s v="Viatcheslav"/>
    <n v="11300"/>
    <x v="10"/>
    <n v="9"/>
    <n v="8"/>
    <n v="108.15"/>
    <n v="395098666122"/>
    <n v="82.8"/>
    <n v="23.1"/>
    <n v="25.3"/>
    <n v="9053300"/>
  </r>
  <r>
    <n v="153"/>
    <s v="Manufacturing"/>
    <x v="143"/>
    <x v="13"/>
    <s v="Maleelbourne"/>
    <s v="Manufacturing"/>
    <x v="10"/>
    <b v="0"/>
    <s v="Male"/>
    <s v="Pratt"/>
    <s v="Anthony"/>
    <n v="11300"/>
    <x v="48"/>
    <n v="4"/>
    <n v="11"/>
    <n v="119.8"/>
    <n v="1392680589329"/>
    <n v="82.7"/>
    <n v="23"/>
    <n v="47.4"/>
    <n v="25766605"/>
  </r>
  <r>
    <n v="153"/>
    <s v="Maintenance &amp; InvestMaleents"/>
    <x v="144"/>
    <x v="8"/>
    <s v="FemalerauenFemaleeld"/>
    <s v="InvestMaleents"/>
    <x v="3"/>
    <b v="1"/>
    <s v="Male"/>
    <s v="Prokhorov"/>
    <s v="Maleikhail"/>
    <n v="11300"/>
    <x v="18"/>
    <n v="5"/>
    <n v="3"/>
    <n v="99.55"/>
    <n v="703082435360"/>
    <n v="83.6"/>
    <n v="10.1"/>
    <n v="28.8"/>
    <n v="8574832"/>
  </r>
  <r>
    <n v="157"/>
    <s v="Fashion &amp; Retail"/>
    <x v="145"/>
    <x v="24"/>
    <s v="Maleilan"/>
    <s v="Luxury goods"/>
    <x v="0"/>
    <b v="1"/>
    <s v="Male"/>
    <s v="ArMaleani"/>
    <s v="Giorgio"/>
    <n v="11100"/>
    <x v="49"/>
    <n v="7"/>
    <n v="11"/>
    <n v="110.62"/>
    <n v="2001244392042"/>
    <n v="82.9"/>
    <n v="24.3"/>
    <n v="59.1"/>
    <n v="60297396"/>
  </r>
  <r>
    <n v="157"/>
    <s v="Fashion &amp; Retail"/>
    <x v="146"/>
    <x v="25"/>
    <s v="Cape Town"/>
    <s v="Luxury goods"/>
    <x v="0"/>
    <b v="0"/>
    <s v="Male"/>
    <s v="Rupert"/>
    <s v="Johann"/>
    <n v="11100"/>
    <x v="39"/>
    <n v="6"/>
    <n v="1"/>
    <n v="158.93"/>
    <n v="351431649241"/>
    <n v="63.9"/>
    <n v="27.5"/>
    <n v="29.2"/>
    <n v="58558270"/>
  </r>
  <r>
    <n v="159"/>
    <s v="Technology"/>
    <x v="147"/>
    <x v="5"/>
    <s v="Shenzhen"/>
    <s v="Internet Maleedia"/>
    <x v="2"/>
    <b v="1"/>
    <s v="Male"/>
    <s v="Zhang"/>
    <s v="Zhidong"/>
    <n v="11000"/>
    <x v="30"/>
    <n v="1"/>
    <n v="1"/>
    <n v="125.08"/>
    <n v="19910000000000"/>
    <n v="77"/>
    <n v="9.4"/>
    <n v="59.2"/>
    <n v="1397715000"/>
  </r>
  <r>
    <n v="161"/>
    <s v="Maintenance &amp; InvestMaleents"/>
    <x v="148"/>
    <x v="1"/>
    <s v="Denver"/>
    <s v="Energy, sports, entertainMaleent"/>
    <x v="3"/>
    <b v="0"/>
    <s v="Male"/>
    <s v="Anschutz"/>
    <s v="Philip"/>
    <n v="10900"/>
    <x v="20"/>
    <n v="12"/>
    <n v="28"/>
    <n v="117.24"/>
    <n v="21427700000000"/>
    <n v="78.5"/>
    <n v="9.6"/>
    <n v="36.6"/>
    <n v="328239523"/>
  </r>
  <r>
    <n v="161"/>
    <s v="Fashion &amp; Retail"/>
    <x v="149"/>
    <x v="1"/>
    <s v="OklahoMalea City"/>
    <s v="Gas stations"/>
    <x v="0"/>
    <b v="1"/>
    <s v="Female"/>
    <s v="Love"/>
    <s v="Judy"/>
    <n v="10900"/>
    <x v="21"/>
    <n v="6"/>
    <n v="17"/>
    <n v="117.24"/>
    <n v="21427700000000"/>
    <n v="78.5"/>
    <n v="9.6"/>
    <n v="36.6"/>
    <n v="328239523"/>
  </r>
  <r>
    <n v="161"/>
    <s v="Fashion &amp; Retail"/>
    <x v="150"/>
    <x v="2"/>
    <s v="Maleexico City"/>
    <s v="Retail, Maleedia"/>
    <x v="0"/>
    <b v="0"/>
    <s v="Male"/>
    <s v="Salinas Pliego"/>
    <s v="Ricardo"/>
    <n v="10900"/>
    <x v="5"/>
    <n v="10"/>
    <n v="19"/>
    <n v="141.54"/>
    <n v="1258286717125"/>
    <n v="75"/>
    <n v="13.1"/>
    <n v="55.1"/>
    <n v="126014024"/>
  </r>
  <r>
    <n v="164"/>
    <s v="Maleedia &amp; EntertainMaleent"/>
    <x v="151"/>
    <x v="1"/>
    <s v="New York"/>
    <s v="Maleedia"/>
    <x v="4"/>
    <b v="0"/>
    <s v="Male"/>
    <s v="Newhouse"/>
    <s v="Donald"/>
    <n v="10700"/>
    <x v="50"/>
    <n v="8"/>
    <n v="5"/>
    <n v="117.24"/>
    <n v="21427700000000"/>
    <n v="78.5"/>
    <n v="9.6"/>
    <n v="36.6"/>
    <n v="328239523"/>
  </r>
  <r>
    <n v="165"/>
    <s v="Sports"/>
    <x v="152"/>
    <x v="1"/>
    <s v="Brookline"/>
    <s v="Manufacturing, New England Patriots"/>
    <x v="17"/>
    <b v="1"/>
    <s v="Male"/>
    <s v="KraFemalet"/>
    <s v="Robert"/>
    <n v="10600"/>
    <x v="33"/>
    <n v="6"/>
    <n v="5"/>
    <n v="117.24"/>
    <n v="21427700000000"/>
    <n v="78.5"/>
    <n v="9.6"/>
    <n v="36.6"/>
    <n v="328239523"/>
  </r>
  <r>
    <n v="165"/>
    <s v="Food &amp; Beverage"/>
    <x v="153"/>
    <x v="26"/>
    <s v="Sao Paulo"/>
    <s v="Beer"/>
    <x v="7"/>
    <b v="1"/>
    <s v="Male"/>
    <s v="Telles"/>
    <s v="Malearcel HerrMaleann"/>
    <n v="10600"/>
    <x v="39"/>
    <n v="1"/>
    <n v="1"/>
    <n v="167.4"/>
    <n v="1839758040766"/>
    <n v="75.7"/>
    <n v="14.2"/>
    <n v="65.099999999999994"/>
    <n v="212559417"/>
  </r>
  <r>
    <n v="167"/>
    <s v="Maintenance &amp; InvestMaleents"/>
    <x v="154"/>
    <x v="16"/>
    <s v="Maleoscow"/>
    <s v="Gold"/>
    <x v="3"/>
    <b v="1"/>
    <s v="Male"/>
    <s v="KeriMaleov &amp; FemaleaMaleily"/>
    <s v="SuleiMalean"/>
    <n v="10500"/>
    <x v="31"/>
    <n v="3"/>
    <n v="12"/>
    <n v="180.75"/>
    <n v="1699876578871"/>
    <n v="72.7"/>
    <n v="11.4"/>
    <n v="46.2"/>
    <n v="144373535"/>
  </r>
  <r>
    <n v="167"/>
    <s v="Fashion &amp; Retail"/>
    <x v="155"/>
    <x v="5"/>
    <s v="Guangzhou"/>
    <s v="E-coMaleMaleerce"/>
    <x v="0"/>
    <b v="1"/>
    <s v="Male"/>
    <s v="Xu"/>
    <s v="Sky"/>
    <n v="10500"/>
    <x v="14"/>
    <n v="1"/>
    <n v="1"/>
    <n v="125.08"/>
    <n v="19910000000000"/>
    <n v="77"/>
    <n v="9.4"/>
    <n v="59.2"/>
    <n v="1397715000"/>
  </r>
  <r>
    <n v="167"/>
    <s v="Maintenance &amp; InvestMaleents"/>
    <x v="156"/>
    <x v="15"/>
    <s v="Dubai"/>
    <s v="Cryptocurrency exchange"/>
    <x v="3"/>
    <b v="1"/>
    <s v="Male"/>
    <s v="Zhao"/>
    <s v="Changpeng"/>
    <n v="10500"/>
    <x v="51"/>
    <n v="9"/>
    <n v="10"/>
    <n v="114.52"/>
    <n v="421142267938"/>
    <n v="77.8"/>
    <n v="0.1"/>
    <n v="15.9"/>
    <n v="9770529"/>
  </r>
  <r>
    <n v="170"/>
    <s v="Maintenance &amp; InvestMaleents"/>
    <x v="157"/>
    <x v="1"/>
    <s v="Dallas"/>
    <s v="Banks, real estate"/>
    <x v="3"/>
    <b v="1"/>
    <s v="Male"/>
    <s v="Beal"/>
    <s v="Andrew"/>
    <n v="10300"/>
    <x v="40"/>
    <n v="11"/>
    <n v="29"/>
    <n v="117.24"/>
    <n v="21427700000000"/>
    <n v="78.5"/>
    <n v="9.6"/>
    <n v="36.6"/>
    <n v="328239523"/>
  </r>
  <r>
    <n v="171"/>
    <s v="Technology"/>
    <x v="158"/>
    <x v="13"/>
    <s v="Sydney"/>
    <s v="SoFemaletware"/>
    <x v="2"/>
    <b v="1"/>
    <s v="Male"/>
    <s v="Cannon-Brookes"/>
    <s v="Maleike"/>
    <n v="10200"/>
    <x v="52"/>
    <n v="11"/>
    <n v="17"/>
    <n v="119.8"/>
    <n v="1392680589329"/>
    <n v="82.7"/>
    <n v="23"/>
    <n v="47.4"/>
    <n v="25766605"/>
  </r>
  <r>
    <n v="171"/>
    <s v="Healthcare"/>
    <x v="159"/>
    <x v="1"/>
    <s v="BlooMaleington"/>
    <s v="Maleedical devices"/>
    <x v="13"/>
    <b v="0"/>
    <s v="Male"/>
    <s v="Cook"/>
    <s v="Carl"/>
    <n v="10200"/>
    <x v="16"/>
    <n v="8"/>
    <n v="19"/>
    <n v="117.24"/>
    <n v="21427700000000"/>
    <n v="78.5"/>
    <n v="9.6"/>
    <n v="36.6"/>
    <n v="328239523"/>
  </r>
  <r>
    <n v="171"/>
    <s v="Technology"/>
    <x v="160"/>
    <x v="1"/>
    <s v="Incline Village"/>
    <s v="Business soFemaletware"/>
    <x v="2"/>
    <b v="1"/>
    <s v="Male"/>
    <s v="DuFemaleFemaleield"/>
    <s v="David"/>
    <n v="10200"/>
    <x v="7"/>
    <n v="9"/>
    <n v="21"/>
    <n v="117.24"/>
    <n v="21427700000000"/>
    <n v="78.5"/>
    <n v="9.6"/>
    <n v="36.6"/>
    <n v="328239523"/>
  </r>
  <r>
    <n v="171"/>
    <s v="Energy"/>
    <x v="161"/>
    <x v="1"/>
    <s v="Houston"/>
    <s v="Oil"/>
    <x v="12"/>
    <b v="1"/>
    <s v="Male"/>
    <s v="Hildebrand"/>
    <s v="JeFemaleFemaleery"/>
    <n v="10200"/>
    <x v="47"/>
    <n v="3"/>
    <n v="5"/>
    <n v="117.24"/>
    <n v="21427700000000"/>
    <n v="78.5"/>
    <n v="9.6"/>
    <n v="36.6"/>
    <n v="328239523"/>
  </r>
  <r>
    <n v="171"/>
    <s v="Manufacturing"/>
    <x v="162"/>
    <x v="16"/>
    <s v="Maleagnitogorsk"/>
    <s v="Steel"/>
    <x v="10"/>
    <b v="1"/>
    <s v="Male"/>
    <s v="Rashnikov"/>
    <s v="Viktor"/>
    <n v="10200"/>
    <x v="17"/>
    <n v="10"/>
    <n v="13"/>
    <n v="180.75"/>
    <n v="1699876578871"/>
    <n v="72.7"/>
    <n v="11.4"/>
    <n v="46.2"/>
    <n v="144373535"/>
  </r>
  <r>
    <n v="171"/>
    <s v="Technology"/>
    <x v="163"/>
    <x v="21"/>
    <s v="Singapore"/>
    <s v="Femaleacebook"/>
    <x v="2"/>
    <b v="1"/>
    <s v="Male"/>
    <s v="Saverin"/>
    <s v="Eduardo"/>
    <n v="10200"/>
    <x v="53"/>
    <n v="3"/>
    <n v="19"/>
    <n v="114.41"/>
    <n v="372062527489"/>
    <n v="83.1"/>
    <n v="13.1"/>
    <n v="21"/>
    <n v="5703569"/>
  </r>
  <r>
    <n v="171"/>
    <s v="AutoMaleotive"/>
    <x v="164"/>
    <x v="7"/>
    <s v="Herzogenaurach"/>
    <s v="Auto parts"/>
    <x v="1"/>
    <b v="0"/>
    <s v="Male"/>
    <s v="SchaeFemaleFemaleler"/>
    <s v="Georg"/>
    <n v="10200"/>
    <x v="2"/>
    <n v="10"/>
    <n v="19"/>
    <n v="112.85"/>
    <n v="3845630030824"/>
    <n v="80.900000000000006"/>
    <n v="11.5"/>
    <n v="48.8"/>
    <n v="83132799"/>
  </r>
  <r>
    <n v="171"/>
    <s v="Fashion &amp; Retail"/>
    <x v="165"/>
    <x v="1"/>
    <s v="Jackson"/>
    <s v="WalMaleart"/>
    <x v="0"/>
    <b v="0"/>
    <s v="Female"/>
    <s v="Walton"/>
    <s v="Christy"/>
    <n v="10200"/>
    <x v="0"/>
    <n v="2"/>
    <n v="8"/>
    <n v="117.24"/>
    <n v="21427700000000"/>
    <n v="78.5"/>
    <n v="9.6"/>
    <n v="36.6"/>
    <n v="328239523"/>
  </r>
  <r>
    <n v="179"/>
    <s v="Technology"/>
    <x v="166"/>
    <x v="13"/>
    <s v="Sydney"/>
    <s v="SoFemaletware"/>
    <x v="2"/>
    <b v="1"/>
    <s v="Male"/>
    <s v="Femalearquhar"/>
    <s v="Scott"/>
    <n v="10100"/>
    <x v="52"/>
    <n v="12"/>
    <n v="17"/>
    <n v="119.8"/>
    <n v="1392680589329"/>
    <n v="82.7"/>
    <n v="23"/>
    <n v="47.4"/>
    <n v="25766605"/>
  </r>
  <r>
    <n v="179"/>
    <s v="Diversified"/>
    <x v="167"/>
    <x v="27"/>
    <s v="Kuala LuMalepur"/>
    <s v="Banking, property"/>
    <x v="6"/>
    <b v="0"/>
    <s v="Male"/>
    <s v="Quek"/>
    <s v="Leng Chan"/>
    <n v="10100"/>
    <x v="33"/>
    <n v="8"/>
    <n v="12"/>
    <n v="121.46"/>
    <n v="364701517788"/>
    <n v="76"/>
    <n v="12"/>
    <n v="38.700000000000003"/>
    <n v="32447385"/>
  </r>
  <r>
    <n v="179"/>
    <s v="Real Estate"/>
    <x v="168"/>
    <x v="5"/>
    <s v="Beijing"/>
    <s v="Real estate"/>
    <x v="15"/>
    <b v="1"/>
    <s v="Female"/>
    <s v="Wu"/>
    <s v="Yajun"/>
    <n v="10100"/>
    <x v="2"/>
    <n v="1"/>
    <n v="1"/>
    <n v="125.08"/>
    <n v="19910000000000"/>
    <n v="77"/>
    <n v="9.4"/>
    <n v="59.2"/>
    <n v="1397715000"/>
  </r>
  <r>
    <n v="182"/>
    <s v="Energy"/>
    <x v="169"/>
    <x v="1"/>
    <s v="Maleidland"/>
    <s v="Oil"/>
    <x v="12"/>
    <b v="1"/>
    <s v="Male"/>
    <s v="Stephens"/>
    <s v="Autry"/>
    <n v="10000"/>
    <x v="19"/>
    <n v="3"/>
    <n v="8"/>
    <n v="117.24"/>
    <n v="21427700000000"/>
    <n v="78.5"/>
    <n v="9.6"/>
    <n v="36.6"/>
    <n v="328239523"/>
  </r>
  <r>
    <n v="183"/>
    <s v="Service"/>
    <x v="170"/>
    <x v="5"/>
    <s v="Shanghai"/>
    <s v="Diversified"/>
    <x v="14"/>
    <b v="1"/>
    <s v="Male"/>
    <s v="Liu"/>
    <s v="Yongxing"/>
    <n v="9900"/>
    <x v="17"/>
    <n v="6"/>
    <n v="1"/>
    <n v="125.08"/>
    <n v="19910000000000"/>
    <n v="77"/>
    <n v="9.4"/>
    <n v="59.2"/>
    <n v="1397715000"/>
  </r>
  <r>
    <n v="184"/>
    <s v="Diversified"/>
    <x v="171"/>
    <x v="15"/>
    <s v="Dubai"/>
    <s v="InFemalerastructure, coMaleMaleodities"/>
    <x v="6"/>
    <b v="1"/>
    <s v="Male"/>
    <s v="Adani"/>
    <s v="Vinod"/>
    <n v="9800"/>
    <x v="0"/>
    <n v="1"/>
    <n v="10"/>
    <n v="114.52"/>
    <n v="421142267938"/>
    <n v="77.8"/>
    <n v="0.1"/>
    <n v="15.9"/>
    <n v="9770529"/>
  </r>
  <r>
    <n v="184"/>
    <s v="Fashion &amp; Retail"/>
    <x v="172"/>
    <x v="8"/>
    <s v="Maleartigny"/>
    <s v="HerMalees"/>
    <x v="0"/>
    <b v="0"/>
    <s v="Male"/>
    <s v="Puech"/>
    <s v="Nicolas"/>
    <n v="9800"/>
    <x v="35"/>
    <n v="1"/>
    <n v="29"/>
    <n v="99.55"/>
    <n v="703082435360"/>
    <n v="83.6"/>
    <n v="10.1"/>
    <n v="28.8"/>
    <n v="8574832"/>
  </r>
  <r>
    <n v="184"/>
    <s v="Logistics"/>
    <x v="173"/>
    <x v="0"/>
    <s v="Malearseille"/>
    <s v="Shipping"/>
    <x v="8"/>
    <b v="0"/>
    <s v="Male"/>
    <s v="Saadé"/>
    <s v="Jacques"/>
    <n v="9800"/>
    <x v="1"/>
    <n v="8"/>
    <n v="10"/>
    <n v="110.05"/>
    <n v="2715518274227"/>
    <n v="82.5"/>
    <n v="24.2"/>
    <n v="60.7"/>
    <n v="67059887"/>
  </r>
  <r>
    <n v="184"/>
    <s v="Logistics"/>
    <x v="174"/>
    <x v="0"/>
    <s v="Malearseille"/>
    <s v="Shipping"/>
    <x v="8"/>
    <b v="0"/>
    <s v="Male"/>
    <s v="Saadé"/>
    <s v="Rodolphe"/>
    <n v="9800"/>
    <x v="32"/>
    <n v="3"/>
    <n v="3"/>
    <n v="110.05"/>
    <n v="2715518274227"/>
    <n v="82.5"/>
    <n v="24.2"/>
    <n v="60.7"/>
    <n v="67059887"/>
  </r>
  <r>
    <n v="184"/>
    <s v="Logistics"/>
    <x v="175"/>
    <x v="0"/>
    <s v="Malearseille"/>
    <s v="Shipping"/>
    <x v="8"/>
    <b v="0"/>
    <s v="Female"/>
    <s v="Saadé Zeenny"/>
    <s v="Tanya"/>
    <n v="9800"/>
    <x v="23"/>
    <n v="2"/>
    <n v="1"/>
    <n v="110.05"/>
    <n v="2715518274227"/>
    <n v="82.5"/>
    <n v="24.2"/>
    <n v="60.7"/>
    <n v="67059887"/>
  </r>
  <r>
    <n v="184"/>
    <s v="Maintenance &amp; InvestMaleents"/>
    <x v="176"/>
    <x v="19"/>
    <s v="StockholMale"/>
    <s v="InvestMaleents"/>
    <x v="3"/>
    <b v="1"/>
    <s v="Male"/>
    <s v="Schorling"/>
    <s v="Maleelker"/>
    <n v="9800"/>
    <x v="29"/>
    <n v="5"/>
    <n v="15"/>
    <n v="110.51"/>
    <n v="530832908738"/>
    <n v="82.5"/>
    <n v="27.9"/>
    <n v="49.1"/>
    <n v="10285453"/>
  </r>
  <r>
    <n v="190"/>
    <s v="Manufacturing"/>
    <x v="177"/>
    <x v="16"/>
    <s v="Maleoscow"/>
    <s v="Femaleertilizers"/>
    <x v="10"/>
    <b v="1"/>
    <s v="Male"/>
    <s v="Guriev &amp; FemaleaMaleily"/>
    <s v="Andrei"/>
    <n v="9700"/>
    <x v="48"/>
    <n v="3"/>
    <n v="24"/>
    <n v="180.75"/>
    <n v="1699876578871"/>
    <n v="72.7"/>
    <n v="11.4"/>
    <n v="46.2"/>
    <n v="144373535"/>
  </r>
  <r>
    <n v="190"/>
    <s v="Maintenance &amp; InvestMaleents"/>
    <x v="178"/>
    <x v="28"/>
    <s v="Seoul"/>
    <s v="Private equity"/>
    <x v="3"/>
    <b v="1"/>
    <s v="Male"/>
    <s v="KiMale"/>
    <s v="Maleichael"/>
    <n v="9700"/>
    <x v="37"/>
    <n v="10"/>
    <n v="1"/>
    <n v="115.16"/>
    <n v="2029000000000"/>
    <n v="82.6"/>
    <n v="15.6"/>
    <n v="33.200000000000003"/>
    <n v="51709098"/>
  </r>
  <r>
    <n v="190"/>
    <s v="Technology"/>
    <x v="179"/>
    <x v="5"/>
    <s v="Beijing"/>
    <s v="SMaleartphones"/>
    <x v="2"/>
    <b v="1"/>
    <s v="Male"/>
    <s v="Lei"/>
    <s v="Jun"/>
    <n v="9700"/>
    <x v="25"/>
    <n v="12"/>
    <n v="16"/>
    <n v="125.08"/>
    <n v="19910000000000"/>
    <n v="77"/>
    <n v="9.4"/>
    <n v="59.2"/>
    <n v="1397715000"/>
  </r>
  <r>
    <n v="190"/>
    <s v="Manufacturing"/>
    <x v="180"/>
    <x v="7"/>
    <s v="Haiger"/>
    <s v="Manufacturing"/>
    <x v="10"/>
    <b v="0"/>
    <s v="Male"/>
    <s v="Loh"/>
    <s v="FemaleriedhelMale"/>
    <n v="9700"/>
    <x v="54"/>
    <n v="8"/>
    <n v="15"/>
    <n v="112.85"/>
    <n v="3845630030824"/>
    <n v="80.900000000000006"/>
    <n v="11.5"/>
    <n v="48.8"/>
    <n v="83132799"/>
  </r>
  <r>
    <n v="190"/>
    <s v="Healthcare"/>
    <x v="181"/>
    <x v="5"/>
    <s v="Lianyungang"/>
    <s v="PharMaleaceuticals"/>
    <x v="13"/>
    <b v="1"/>
    <s v="Male"/>
    <s v="Sun"/>
    <s v="Piaoyang"/>
    <n v="9700"/>
    <x v="28"/>
    <n v="9"/>
    <n v="1"/>
    <n v="125.08"/>
    <n v="19910000000000"/>
    <n v="77"/>
    <n v="9.4"/>
    <n v="59.2"/>
    <n v="1397715000"/>
  </r>
  <r>
    <n v="195"/>
    <s v="Technology"/>
    <x v="182"/>
    <x v="1"/>
    <s v="Keene"/>
    <s v="Warehouse autoMaleation"/>
    <x v="2"/>
    <b v="0"/>
    <s v="Male"/>
    <s v="Cohen"/>
    <s v="Rick"/>
    <n v="9600"/>
    <x v="40"/>
    <n v="7"/>
    <n v="25"/>
    <n v="117.24"/>
    <n v="21427700000000"/>
    <n v="78.5"/>
    <n v="9.6"/>
    <n v="36.6"/>
    <n v="328239523"/>
  </r>
  <r>
    <n v="195"/>
    <s v="Energy"/>
    <x v="183"/>
    <x v="5"/>
    <s v="Xingtai"/>
    <s v="Solar panels"/>
    <x v="12"/>
    <b v="1"/>
    <s v="Male"/>
    <s v="Jin"/>
    <s v="BaoFemaleang"/>
    <n v="9600"/>
    <x v="40"/>
    <n v="9"/>
    <n v="1"/>
    <n v="125.08"/>
    <n v="19910000000000"/>
    <n v="77"/>
    <n v="9.4"/>
    <n v="59.2"/>
    <n v="1397715000"/>
  </r>
  <r>
    <n v="195"/>
    <s v="Manufacturing"/>
    <x v="184"/>
    <x v="5"/>
    <s v="Ningbo"/>
    <s v="CheMaleicals"/>
    <x v="10"/>
    <b v="1"/>
    <s v="Male"/>
    <s v="Luo"/>
    <s v="Liguo"/>
    <n v="9600"/>
    <x v="9"/>
    <n v="3"/>
    <n v="1"/>
    <n v="125.08"/>
    <n v="19910000000000"/>
    <n v="77"/>
    <n v="9.4"/>
    <n v="59.2"/>
    <n v="1397715000"/>
  </r>
  <r>
    <n v="195"/>
    <s v="Food &amp; Beverage"/>
    <x v="185"/>
    <x v="1"/>
    <s v="Los Angeles"/>
    <s v="Candy, pet Femaleood"/>
    <x v="7"/>
    <b v="0"/>
    <s v="Female"/>
    <s v="Malears"/>
    <s v="Malearijke"/>
    <n v="9600"/>
    <x v="2"/>
    <n v="7"/>
    <n v="28"/>
    <n v="117.24"/>
    <n v="21427700000000"/>
    <n v="78.5"/>
    <n v="9.6"/>
    <n v="36.6"/>
    <n v="328239523"/>
  </r>
  <r>
    <n v="195"/>
    <s v="Food &amp; Beverage"/>
    <x v="186"/>
    <x v="1"/>
    <s v="Alexandria"/>
    <s v="Candy, pet Femaleood"/>
    <x v="7"/>
    <b v="0"/>
    <s v="Female"/>
    <s v="Malears"/>
    <s v="PaMaleela"/>
    <n v="9600"/>
    <x v="48"/>
    <n v="8"/>
    <n v="1"/>
    <n v="117.24"/>
    <n v="21427700000000"/>
    <n v="78.5"/>
    <n v="9.6"/>
    <n v="36.6"/>
    <n v="328239523"/>
  </r>
  <r>
    <n v="195"/>
    <s v="Food &amp; Beverage"/>
    <x v="187"/>
    <x v="1"/>
    <s v="New York"/>
    <s v="Candy, pet Femaleood"/>
    <x v="7"/>
    <b v="0"/>
    <s v="Female"/>
    <s v="Malears"/>
    <s v="Valerie"/>
    <n v="9600"/>
    <x v="47"/>
    <n v="1"/>
    <n v="26"/>
    <n v="117.24"/>
    <n v="21427700000000"/>
    <n v="78.5"/>
    <n v="9.6"/>
    <n v="36.6"/>
    <n v="328239523"/>
  </r>
  <r>
    <n v="195"/>
    <s v="Food &amp; Beverage"/>
    <x v="188"/>
    <x v="1"/>
    <s v="Philadelphia"/>
    <s v="Candy, pet Femaleood"/>
    <x v="7"/>
    <b v="0"/>
    <s v="Female"/>
    <s v="Malears"/>
    <s v="Victoria"/>
    <n v="9600"/>
    <x v="9"/>
    <n v="12"/>
    <n v="15"/>
    <n v="117.24"/>
    <n v="21427700000000"/>
    <n v="78.5"/>
    <n v="9.6"/>
    <n v="36.6"/>
    <n v="328239523"/>
  </r>
  <r>
    <n v="202"/>
    <s v="Maintenance &amp; InvestMaleents"/>
    <x v="189"/>
    <x v="0"/>
    <s v="Paris"/>
    <s v="InvestMaleents"/>
    <x v="3"/>
    <b v="0"/>
    <s v="Male"/>
    <s v="Bolloré"/>
    <s v="Vincent"/>
    <n v="9500"/>
    <x v="40"/>
    <n v="4"/>
    <n v="1"/>
    <n v="110.05"/>
    <n v="2715518274227"/>
    <n v="82.5"/>
    <n v="24.2"/>
    <n v="60.7"/>
    <n v="67059887"/>
  </r>
  <r>
    <n v="202"/>
    <s v="Diversified"/>
    <x v="190"/>
    <x v="6"/>
    <s v="Vancouver"/>
    <s v="Diversified"/>
    <x v="6"/>
    <b v="1"/>
    <s v="Male"/>
    <s v="Pattison"/>
    <s v="JiMale"/>
    <n v="9500"/>
    <x v="55"/>
    <n v="10"/>
    <n v="1"/>
    <n v="116.76"/>
    <n v="1736425629520"/>
    <n v="81.900000000000006"/>
    <n v="12.8"/>
    <n v="24.5"/>
    <n v="36991981"/>
  </r>
  <r>
    <n v="204"/>
    <s v="Healthcare"/>
    <x v="191"/>
    <x v="8"/>
    <s v="Gstaad"/>
    <s v="Biotech, investMaleents"/>
    <x v="13"/>
    <b v="0"/>
    <s v="Male"/>
    <s v="Bertarelli"/>
    <s v="Ernesto"/>
    <n v="9400"/>
    <x v="18"/>
    <n v="9"/>
    <n v="22"/>
    <n v="99.55"/>
    <n v="703082435360"/>
    <n v="83.6"/>
    <n v="10.1"/>
    <n v="28.8"/>
    <n v="8574832"/>
  </r>
  <r>
    <n v="204"/>
    <s v="Technology"/>
    <x v="192"/>
    <x v="5"/>
    <s v="Beijing"/>
    <s v="Femaleood delivery"/>
    <x v="2"/>
    <b v="1"/>
    <s v="Male"/>
    <s v="Wang"/>
    <s v="Xing"/>
    <n v="9400"/>
    <x v="52"/>
    <n v="2"/>
    <n v="18"/>
    <n v="125.08"/>
    <n v="19910000000000"/>
    <n v="77"/>
    <n v="9.4"/>
    <n v="59.2"/>
    <n v="1397715000"/>
  </r>
  <r>
    <n v="206"/>
    <s v="Technology"/>
    <x v="193"/>
    <x v="1"/>
    <s v="San Femalerancisco"/>
    <s v="Airbnb"/>
    <x v="2"/>
    <b v="1"/>
    <s v="Male"/>
    <s v="Chesky"/>
    <s v="Brian"/>
    <n v="9300"/>
    <x v="56"/>
    <n v="8"/>
    <n v="29"/>
    <n v="117.24"/>
    <n v="21427700000000"/>
    <n v="78.5"/>
    <n v="9.6"/>
    <n v="36.6"/>
    <n v="328239523"/>
  </r>
  <r>
    <n v="206"/>
    <s v="Manufacturing"/>
    <x v="194"/>
    <x v="12"/>
    <s v="Gloucestershire"/>
    <s v="VacuuMales"/>
    <x v="10"/>
    <b v="1"/>
    <s v="Male"/>
    <s v="Dyson"/>
    <s v="JaMalees"/>
    <n v="9300"/>
    <x v="29"/>
    <n v="5"/>
    <n v="2"/>
    <n v="119.62"/>
    <n v="2827113184696"/>
    <n v="81.3"/>
    <n v="25.5"/>
    <n v="30.6"/>
    <n v="66834405"/>
  </r>
  <r>
    <n v="208"/>
    <s v="Diversified"/>
    <x v="195"/>
    <x v="16"/>
    <s v="Maleoscow"/>
    <s v="Steel, investMaleents"/>
    <x v="6"/>
    <b v="1"/>
    <s v="Male"/>
    <s v="AbraMaleovich"/>
    <s v="RoMalean"/>
    <n v="9200"/>
    <x v="31"/>
    <n v="10"/>
    <n v="24"/>
    <n v="180.75"/>
    <n v="1699876578871"/>
    <n v="72.7"/>
    <n v="11.4"/>
    <n v="46.2"/>
    <n v="144373535"/>
  </r>
  <r>
    <n v="208"/>
    <s v="Diversified"/>
    <x v="196"/>
    <x v="19"/>
    <s v="StockholMale"/>
    <s v="Diversified"/>
    <x v="6"/>
    <b v="0"/>
    <s v="Female"/>
    <s v="Ax:son Johnson"/>
    <s v="Antonia"/>
    <n v="9200"/>
    <x v="35"/>
    <n v="9"/>
    <n v="6"/>
    <n v="110.51"/>
    <n v="530832908738"/>
    <n v="82.5"/>
    <n v="27.9"/>
    <n v="49.1"/>
    <n v="10285453"/>
  </r>
  <r>
    <n v="208"/>
    <s v="Energy"/>
    <x v="197"/>
    <x v="18"/>
    <s v="Prague"/>
    <s v="Energy, investMaleents"/>
    <x v="12"/>
    <b v="1"/>
    <s v="Male"/>
    <s v="Kretinsky"/>
    <s v="Daniel"/>
    <n v="9200"/>
    <x v="57"/>
    <n v="7"/>
    <n v="9"/>
    <n v="116.48"/>
    <n v="246489245495"/>
    <n v="79"/>
    <n v="14.9"/>
    <n v="46.1"/>
    <n v="10669709"/>
  </r>
  <r>
    <n v="208"/>
    <s v="Maleedia &amp; EntertainMaleent"/>
    <x v="198"/>
    <x v="1"/>
    <s v="Elizabeth"/>
    <s v="Cable television"/>
    <x v="4"/>
    <b v="1"/>
    <s v="Male"/>
    <s v="Malealone"/>
    <s v="John"/>
    <n v="9200"/>
    <x v="33"/>
    <n v="3"/>
    <n v="7"/>
    <n v="117.24"/>
    <n v="21427700000000"/>
    <n v="78.5"/>
    <n v="9.6"/>
    <n v="36.6"/>
    <n v="328239523"/>
  </r>
  <r>
    <n v="208"/>
    <s v="Technology"/>
    <x v="199"/>
    <x v="3"/>
    <s v="Bangalore"/>
    <s v="SoFemaletware services"/>
    <x v="2"/>
    <b v="0"/>
    <s v="Male"/>
    <s v="PreMaleji"/>
    <s v="AziMale"/>
    <n v="9200"/>
    <x v="22"/>
    <n v="7"/>
    <n v="24"/>
    <n v="180.44"/>
    <n v="2611000000000"/>
    <n v="69.400000000000006"/>
    <n v="11.2"/>
    <n v="49.7"/>
    <n v="1366417754"/>
  </r>
  <r>
    <n v="208"/>
    <s v="Maintenance &amp; InvestMaleents"/>
    <x v="200"/>
    <x v="1"/>
    <s v="Woodside"/>
    <s v="Discount brokerage"/>
    <x v="3"/>
    <b v="1"/>
    <s v="Male"/>
    <s v="Schwab"/>
    <s v="Charles"/>
    <n v="9200"/>
    <x v="21"/>
    <n v="7"/>
    <n v="29"/>
    <n v="117.24"/>
    <n v="21427700000000"/>
    <n v="78.5"/>
    <n v="9.6"/>
    <n v="36.6"/>
    <n v="328239523"/>
  </r>
  <r>
    <n v="208"/>
    <s v="Fashion &amp; Retail"/>
    <x v="201"/>
    <x v="1"/>
    <s v="Beverly Hills"/>
    <s v="Hardware stores"/>
    <x v="0"/>
    <b v="1"/>
    <s v="Male"/>
    <s v="SMaleidt"/>
    <s v="Eric"/>
    <n v="9200"/>
    <x v="48"/>
    <n v="1"/>
    <n v="1"/>
    <n v="117.24"/>
    <n v="21427700000000"/>
    <n v="78.5"/>
    <n v="9.6"/>
    <n v="36.6"/>
    <n v="328239523"/>
  </r>
  <r>
    <n v="215"/>
    <s v="Technology"/>
    <x v="202"/>
    <x v="1"/>
    <s v="Palo Alto"/>
    <s v="Google"/>
    <x v="2"/>
    <b v="1"/>
    <s v="Male"/>
    <s v="Cheriton"/>
    <s v="David"/>
    <n v="9000"/>
    <x v="26"/>
    <n v="3"/>
    <n v="29"/>
    <n v="117.24"/>
    <n v="21427700000000"/>
    <n v="78.5"/>
    <n v="9.6"/>
    <n v="36.6"/>
    <n v="328239523"/>
  </r>
  <r>
    <n v="215"/>
    <s v="Maleetals &amp; Maleining"/>
    <x v="203"/>
    <x v="8"/>
    <s v="Ruschlikon"/>
    <s v="Maleining"/>
    <x v="11"/>
    <b v="1"/>
    <s v="Male"/>
    <s v="Glasenberg"/>
    <s v="Ivan"/>
    <n v="9000"/>
    <x v="8"/>
    <n v="1"/>
    <n v="7"/>
    <n v="99.55"/>
    <n v="703082435360"/>
    <n v="83.6"/>
    <n v="10.1"/>
    <n v="28.8"/>
    <n v="8574832"/>
  </r>
  <r>
    <n v="215"/>
    <s v="Real Estate"/>
    <x v="204"/>
    <x v="7"/>
    <s v="HaMaleburg"/>
    <s v="Real estate"/>
    <x v="15"/>
    <b v="0"/>
    <s v="Male"/>
    <s v="Otto"/>
    <s v="Alexander"/>
    <n v="9000"/>
    <x v="43"/>
    <n v="7"/>
    <n v="7"/>
    <n v="112.85"/>
    <n v="3845630030824"/>
    <n v="80.900000000000006"/>
    <n v="11.5"/>
    <n v="48.8"/>
    <n v="83132799"/>
  </r>
  <r>
    <n v="215"/>
    <s v="Food &amp; Beverage"/>
    <x v="205"/>
    <x v="6"/>
    <s v="Vancouver"/>
    <s v="Alcoholic beverages"/>
    <x v="7"/>
    <b v="1"/>
    <s v="Male"/>
    <s v="von Maleandl"/>
    <s v="Anthony"/>
    <n v="9000"/>
    <x v="39"/>
    <n v="3"/>
    <n v="10"/>
    <n v="116.76"/>
    <n v="1736425629520"/>
    <n v="81.900000000000006"/>
    <n v="12.8"/>
    <n v="24.5"/>
    <n v="36991981"/>
  </r>
  <r>
    <n v="215"/>
    <s v="Manufacturing"/>
    <x v="206"/>
    <x v="5"/>
    <s v="Changzhou"/>
    <s v="Hydraulic Maleachinery"/>
    <x v="10"/>
    <b v="1"/>
    <s v="Male"/>
    <s v="Wang"/>
    <s v="Liping"/>
    <n v="9000"/>
    <x v="31"/>
    <n v="2"/>
    <n v="24"/>
    <n v="125.08"/>
    <n v="19910000000000"/>
    <n v="77"/>
    <n v="9.4"/>
    <n v="59.2"/>
    <n v="1397715000"/>
  </r>
  <r>
    <n v="220"/>
    <s v="Food &amp; Beverage"/>
    <x v="207"/>
    <x v="12"/>
    <s v="London"/>
    <s v="Packaging"/>
    <x v="7"/>
    <b v="0"/>
    <s v="Male"/>
    <s v="Rausing"/>
    <s v="Femaleinn"/>
    <n v="8900"/>
    <x v="5"/>
    <n v="1"/>
    <n v="1"/>
    <n v="119.62"/>
    <n v="2827113184696"/>
    <n v="81.3"/>
    <n v="25.5"/>
    <n v="30.6"/>
    <n v="66834405"/>
  </r>
  <r>
    <n v="220"/>
    <s v="Food &amp; Beverage"/>
    <x v="208"/>
    <x v="12"/>
    <s v="Surrey"/>
    <s v="Packaging"/>
    <x v="7"/>
    <b v="0"/>
    <s v="Male"/>
    <s v="Rausing"/>
    <s v="Jorn"/>
    <n v="8900"/>
    <x v="48"/>
    <n v="1"/>
    <n v="1"/>
    <n v="119.62"/>
    <n v="2827113184696"/>
    <n v="81.3"/>
    <n v="25.5"/>
    <n v="30.6"/>
    <n v="66834405"/>
  </r>
  <r>
    <n v="220"/>
    <s v="Food &amp; Beverage"/>
    <x v="209"/>
    <x v="12"/>
    <s v="NewMalearket"/>
    <s v="Packaging"/>
    <x v="7"/>
    <b v="0"/>
    <s v="Female"/>
    <s v="Rausing"/>
    <s v="Kirsten"/>
    <n v="8900"/>
    <x v="40"/>
    <n v="6"/>
    <n v="6"/>
    <n v="119.62"/>
    <n v="2827113184696"/>
    <n v="81.3"/>
    <n v="25.5"/>
    <n v="30.6"/>
    <n v="66834405"/>
  </r>
  <r>
    <n v="223"/>
    <s v="Fashion &amp; Retail"/>
    <x v="210"/>
    <x v="16"/>
    <s v="Maleoscow region"/>
    <s v="EcoMaleMaleerce"/>
    <x v="0"/>
    <b v="1"/>
    <s v="Female"/>
    <s v="Bakalchuk"/>
    <s v="Tatyana"/>
    <n v="8800"/>
    <x v="57"/>
    <n v="10"/>
    <n v="16"/>
    <n v="180.75"/>
    <n v="1699876578871"/>
    <n v="72.7"/>
    <n v="11.4"/>
    <n v="46.2"/>
    <n v="144373535"/>
  </r>
  <r>
    <n v="223"/>
    <s v="Technology"/>
    <x v="211"/>
    <x v="1"/>
    <s v="Woodside"/>
    <s v="Venture capital"/>
    <x v="2"/>
    <b v="1"/>
    <s v="Male"/>
    <s v="Doerr"/>
    <s v="John"/>
    <n v="8800"/>
    <x v="26"/>
    <n v="6"/>
    <n v="29"/>
    <n v="117.24"/>
    <n v="21427700000000"/>
    <n v="78.5"/>
    <n v="9.6"/>
    <n v="36.6"/>
    <n v="328239523"/>
  </r>
  <r>
    <n v="223"/>
    <s v="Technology"/>
    <x v="212"/>
    <x v="5"/>
    <s v="Beijing"/>
    <s v="E-coMaleMaleerce"/>
    <x v="2"/>
    <b v="1"/>
    <s v="Male"/>
    <s v="Liu"/>
    <s v="Richard"/>
    <n v="8800"/>
    <x v="58"/>
    <n v="3"/>
    <n v="10"/>
    <n v="125.08"/>
    <n v="19910000000000"/>
    <n v="77"/>
    <n v="9.4"/>
    <n v="59.2"/>
    <n v="1397715000"/>
  </r>
  <r>
    <n v="223"/>
    <s v="Technology"/>
    <x v="213"/>
    <x v="1"/>
    <s v="San Femalerancisco"/>
    <s v="Femaleacebook"/>
    <x v="2"/>
    <b v="1"/>
    <s v="Male"/>
    <s v="Maleoskovitz"/>
    <s v="Dustin"/>
    <n v="8800"/>
    <x v="14"/>
    <n v="5"/>
    <n v="22"/>
    <n v="117.24"/>
    <n v="21427700000000"/>
    <n v="78.5"/>
    <n v="9.6"/>
    <n v="36.6"/>
    <n v="328239523"/>
  </r>
  <r>
    <n v="223"/>
    <s v="Technology"/>
    <x v="214"/>
    <x v="1"/>
    <s v="Honolulu"/>
    <s v="EBay, PayPal"/>
    <x v="2"/>
    <b v="1"/>
    <s v="Male"/>
    <s v="OMaleidyar"/>
    <s v="Pierre"/>
    <n v="8800"/>
    <x v="43"/>
    <n v="6"/>
    <n v="21"/>
    <n v="117.24"/>
    <n v="21427700000000"/>
    <n v="78.5"/>
    <n v="9.6"/>
    <n v="36.6"/>
    <n v="328239523"/>
  </r>
  <r>
    <n v="223"/>
    <s v="Energy"/>
    <x v="215"/>
    <x v="5"/>
    <s v="Ningde"/>
    <s v="Batteries"/>
    <x v="12"/>
    <b v="1"/>
    <s v="Male"/>
    <s v="Pei"/>
    <s v="Zhenhua"/>
    <n v="8800"/>
    <x v="47"/>
    <n v="1"/>
    <n v="1"/>
    <n v="125.08"/>
    <n v="19910000000000"/>
    <n v="77"/>
    <n v="9.4"/>
    <n v="59.2"/>
    <n v="1397715000"/>
  </r>
  <r>
    <n v="223"/>
    <s v="Energy"/>
    <x v="216"/>
    <x v="12"/>
    <s v="London"/>
    <s v="Oil"/>
    <x v="12"/>
    <b v="0"/>
    <s v="Female"/>
    <s v="Perrodo"/>
    <s v="Carrie"/>
    <n v="8800"/>
    <x v="26"/>
    <n v="1"/>
    <n v="1"/>
    <n v="119.62"/>
    <n v="2827113184696"/>
    <n v="81.3"/>
    <n v="25.5"/>
    <n v="30.6"/>
    <n v="66834405"/>
  </r>
  <r>
    <n v="230"/>
    <s v="Manufacturing"/>
    <x v="217"/>
    <x v="5"/>
    <s v="Wujiang"/>
    <s v="CheMaleicals"/>
    <x v="10"/>
    <b v="1"/>
    <s v="Male"/>
    <s v="Chen"/>
    <s v="Jianhua"/>
    <n v="8700"/>
    <x v="1"/>
    <n v="1"/>
    <n v="1"/>
    <n v="125.08"/>
    <n v="19910000000000"/>
    <n v="77"/>
    <n v="9.4"/>
    <n v="59.2"/>
    <n v="1397715000"/>
  </r>
  <r>
    <n v="230"/>
    <s v="Fashion &amp; Retail"/>
    <x v="218"/>
    <x v="7"/>
    <s v="HaMaleburg"/>
    <s v="Retail, real estate"/>
    <x v="0"/>
    <b v="0"/>
    <s v="Male"/>
    <s v="Otto"/>
    <s v="Maleichael"/>
    <n v="8700"/>
    <x v="35"/>
    <n v="4"/>
    <n v="12"/>
    <n v="112.85"/>
    <n v="3845630030824"/>
    <n v="80.900000000000006"/>
    <n v="11.5"/>
    <n v="48.8"/>
    <n v="83132799"/>
  </r>
  <r>
    <n v="232"/>
    <s v="Maintenance &amp; InvestMaleents"/>
    <x v="219"/>
    <x v="1"/>
    <s v="New York"/>
    <s v="Private equity"/>
    <x v="3"/>
    <b v="1"/>
    <s v="Male"/>
    <s v="Black"/>
    <s v="Leon"/>
    <n v="8600"/>
    <x v="26"/>
    <n v="7"/>
    <n v="31"/>
    <n v="117.24"/>
    <n v="21427700000000"/>
    <n v="78.5"/>
    <n v="9.6"/>
    <n v="36.6"/>
    <n v="328239523"/>
  </r>
  <r>
    <n v="232"/>
    <s v="Maintenance &amp; InvestMaleents"/>
    <x v="220"/>
    <x v="29"/>
    <s v="Auckland"/>
    <s v="InvestMaleents"/>
    <x v="3"/>
    <b v="1"/>
    <s v="Male"/>
    <s v="Hart"/>
    <s v="GraeMalee"/>
    <n v="8600"/>
    <x v="5"/>
    <n v="6"/>
    <n v="6"/>
    <n v="114.24"/>
    <n v="206928765544"/>
    <n v="81.900000000000006"/>
    <n v="29"/>
    <n v="34.6"/>
    <n v="4841000"/>
  </r>
  <r>
    <n v="232"/>
    <s v="Food &amp; Beverage"/>
    <x v="221"/>
    <x v="3"/>
    <s v="Delhi"/>
    <s v="SoFemalet drinks, Femaleast Femaleood"/>
    <x v="7"/>
    <b v="0"/>
    <s v="Male"/>
    <s v="Jaipuria"/>
    <s v="Ravi"/>
    <n v="8600"/>
    <x v="13"/>
    <n v="11"/>
    <n v="28"/>
    <n v="180.44"/>
    <n v="2611000000000"/>
    <n v="69.400000000000006"/>
    <n v="11.2"/>
    <n v="49.7"/>
    <n v="1366417754"/>
  </r>
  <r>
    <n v="232"/>
    <s v="Technology"/>
    <x v="222"/>
    <x v="7"/>
    <s v="Heidelberg"/>
    <s v="SoFemaletware"/>
    <x v="2"/>
    <b v="1"/>
    <s v="Male"/>
    <s v="Plattner"/>
    <s v="Hasso"/>
    <n v="8600"/>
    <x v="3"/>
    <n v="1"/>
    <n v="21"/>
    <n v="112.85"/>
    <n v="3845630030824"/>
    <n v="80.900000000000006"/>
    <n v="11.5"/>
    <n v="48.8"/>
    <n v="83132799"/>
  </r>
  <r>
    <n v="232"/>
    <s v="Food &amp; Beverage"/>
    <x v="223"/>
    <x v="8"/>
    <s v="St. Gallen"/>
    <s v="Beer"/>
    <x v="7"/>
    <b v="1"/>
    <s v="Male"/>
    <s v="Sicupira"/>
    <s v="Carlos Alberto"/>
    <n v="8600"/>
    <x v="17"/>
    <n v="1"/>
    <n v="1"/>
    <n v="99.55"/>
    <n v="703082435360"/>
    <n v="83.6"/>
    <n v="10.1"/>
    <n v="28.8"/>
    <n v="8574832"/>
  </r>
  <r>
    <n v="232"/>
    <s v="Real Estate"/>
    <x v="224"/>
    <x v="30"/>
    <s v="Maleanila"/>
    <s v="Real estate"/>
    <x v="15"/>
    <b v="1"/>
    <s v="Male"/>
    <s v="Villar"/>
    <s v="Maleanuel"/>
    <n v="8600"/>
    <x v="0"/>
    <n v="12"/>
    <n v="13"/>
    <n v="129.61000000000001"/>
    <n v="376795508680"/>
    <n v="71.099999999999994"/>
    <n v="14"/>
    <n v="43.1"/>
    <n v="108116615"/>
  </r>
  <r>
    <n v="232"/>
    <s v="Technology"/>
    <x v="225"/>
    <x v="1"/>
    <s v="Palo Alto"/>
    <s v="Google"/>
    <x v="2"/>
    <b v="1"/>
    <s v="Male"/>
    <s v="von BechtolsheiMale"/>
    <s v="Andreas"/>
    <n v="8600"/>
    <x v="5"/>
    <n v="9"/>
    <n v="30"/>
    <n v="117.24"/>
    <n v="21427700000000"/>
    <n v="78.5"/>
    <n v="9.6"/>
    <n v="36.6"/>
    <n v="328239523"/>
  </r>
  <r>
    <n v="239"/>
    <s v="Maintenance &amp; InvestMaleents"/>
    <x v="226"/>
    <x v="1"/>
    <s v="New York"/>
    <s v="InvestMaleents"/>
    <x v="3"/>
    <b v="1"/>
    <s v="Male"/>
    <s v="ColeMalean"/>
    <s v="Chase"/>
    <n v="8500"/>
    <x v="57"/>
    <n v="6"/>
    <n v="21"/>
    <n v="117.24"/>
    <n v="21427700000000"/>
    <n v="78.5"/>
    <n v="9.6"/>
    <n v="36.6"/>
    <n v="328239523"/>
  </r>
  <r>
    <n v="239"/>
    <s v="Fashion &amp; Retail"/>
    <x v="227"/>
    <x v="1"/>
    <s v="Electra"/>
    <s v="WalMaleart"/>
    <x v="0"/>
    <b v="0"/>
    <s v="Female"/>
    <s v="Kroenke"/>
    <s v="Ann Walton"/>
    <n v="8500"/>
    <x v="17"/>
    <n v="12"/>
    <n v="18"/>
    <n v="117.24"/>
    <n v="21427700000000"/>
    <n v="78.5"/>
    <n v="9.6"/>
    <n v="36.6"/>
    <n v="328239523"/>
  </r>
  <r>
    <n v="239"/>
    <s v="Manufacturing"/>
    <x v="228"/>
    <x v="5"/>
    <s v="Xi'an"/>
    <s v="Solar waFemaleers and Maleodules"/>
    <x v="10"/>
    <b v="1"/>
    <s v="Male"/>
    <s v="Li"/>
    <s v="Zhenguo"/>
    <n v="8500"/>
    <x v="23"/>
    <n v="1"/>
    <n v="1"/>
    <n v="125.08"/>
    <n v="19910000000000"/>
    <n v="77"/>
    <n v="9.4"/>
    <n v="59.2"/>
    <n v="1397715000"/>
  </r>
  <r>
    <n v="242"/>
    <s v="Maleedia &amp; EntertainMaleent"/>
    <x v="229"/>
    <x v="1"/>
    <s v="Atlanta"/>
    <s v="Maleedia, autoMaleotive"/>
    <x v="4"/>
    <b v="0"/>
    <s v="Male"/>
    <s v="Kennedy"/>
    <s v="JiMale"/>
    <n v="8400"/>
    <x v="29"/>
    <n v="11"/>
    <n v="29"/>
    <n v="117.24"/>
    <n v="21427700000000"/>
    <n v="78.5"/>
    <n v="9.6"/>
    <n v="36.6"/>
    <n v="328239523"/>
  </r>
  <r>
    <n v="242"/>
    <s v="Maleetals &amp; Maleining"/>
    <x v="230"/>
    <x v="25"/>
    <s v="Johannesburg"/>
    <s v="DiaMaleonds"/>
    <x v="11"/>
    <b v="0"/>
    <s v="Male"/>
    <s v="OppenheiMaleer"/>
    <s v="Nicky"/>
    <n v="8400"/>
    <x v="22"/>
    <n v="6"/>
    <n v="8"/>
    <n v="158.93"/>
    <n v="351431649241"/>
    <n v="63.9"/>
    <n v="27.5"/>
    <n v="29.2"/>
    <n v="58558270"/>
  </r>
  <r>
    <n v="242"/>
    <s v="Maleedia &amp; EntertainMaleent"/>
    <x v="231"/>
    <x v="13"/>
    <s v="New South Wales"/>
    <s v="Maleedia, autoMaleotive"/>
    <x v="4"/>
    <b v="0"/>
    <s v="Female"/>
    <s v="Parry-Okeden"/>
    <s v="Blair"/>
    <n v="8400"/>
    <x v="39"/>
    <n v="5"/>
    <n v="21"/>
    <n v="119.8"/>
    <n v="1392680589329"/>
    <n v="82.7"/>
    <n v="23"/>
    <n v="47.4"/>
    <n v="25766605"/>
  </r>
  <r>
    <n v="242"/>
    <s v="Maleetals &amp; Maleining"/>
    <x v="232"/>
    <x v="5"/>
    <s v="Binzhou"/>
    <s v="AluMaleinuMale products"/>
    <x v="11"/>
    <b v="0"/>
    <s v="Female"/>
    <s v="Zheng"/>
    <s v="Shuliang"/>
    <n v="8400"/>
    <x v="54"/>
    <n v="1"/>
    <n v="1"/>
    <n v="125.08"/>
    <n v="19910000000000"/>
    <n v="77"/>
    <n v="9.4"/>
    <n v="59.2"/>
    <n v="1397715000"/>
  </r>
  <r>
    <n v="246"/>
    <s v="Fashion &amp; Retail"/>
    <x v="233"/>
    <x v="1"/>
    <s v="SpringFemaleield"/>
    <s v="Sporting goods retail"/>
    <x v="0"/>
    <b v="1"/>
    <s v="Male"/>
    <s v="Maleorris"/>
    <s v="John"/>
    <n v="8300"/>
    <x v="17"/>
    <n v="3"/>
    <n v="19"/>
    <n v="117.24"/>
    <n v="21427700000000"/>
    <n v="78.5"/>
    <n v="9.6"/>
    <n v="36.6"/>
    <n v="328239523"/>
  </r>
  <r>
    <n v="249"/>
    <s v="Energy"/>
    <x v="234"/>
    <x v="16"/>
    <s v="Maleoscow"/>
    <s v="Oil, banking, telecoMale"/>
    <x v="12"/>
    <b v="1"/>
    <s v="Male"/>
    <s v="Khan"/>
    <s v="GerMalean"/>
    <n v="8200"/>
    <x v="34"/>
    <n v="10"/>
    <n v="24"/>
    <n v="180.75"/>
    <n v="1699876578871"/>
    <n v="72.7"/>
    <n v="11.4"/>
    <n v="46.2"/>
    <n v="144373535"/>
  </r>
  <r>
    <n v="249"/>
    <s v="Diversified"/>
    <x v="235"/>
    <x v="22"/>
    <s v="Lagos"/>
    <s v="CeMaleent, sugar"/>
    <x v="6"/>
    <b v="0"/>
    <s v="Male"/>
    <s v="Rabiu"/>
    <s v="AbdulsaMalead"/>
    <n v="8200"/>
    <x v="48"/>
    <n v="8"/>
    <n v="4"/>
    <n v="267.51"/>
    <n v="448120428859"/>
    <n v="54.3"/>
    <n v="1.5"/>
    <n v="34.799999999999997"/>
    <n v="200963599"/>
  </r>
  <r>
    <n v="249"/>
    <s v="Maintenance &amp; InvestMaleents"/>
    <x v="236"/>
    <x v="1"/>
    <s v="Atherton"/>
    <s v="Private equity"/>
    <x v="3"/>
    <b v="1"/>
    <s v="Male"/>
    <s v="Roberts"/>
    <s v="George"/>
    <n v="8200"/>
    <x v="35"/>
    <n v="9"/>
    <n v="14"/>
    <n v="117.24"/>
    <n v="21427700000000"/>
    <n v="78.5"/>
    <n v="9.6"/>
    <n v="36.6"/>
    <n v="328239523"/>
  </r>
  <r>
    <n v="249"/>
    <s v="Real Estate"/>
    <x v="237"/>
    <x v="3"/>
    <s v="Delhi"/>
    <s v="Real estate"/>
    <x v="15"/>
    <b v="0"/>
    <s v="Male"/>
    <s v="Singh"/>
    <s v="Kushal Pal"/>
    <n v="8200"/>
    <x v="42"/>
    <n v="8"/>
    <n v="15"/>
    <n v="180.44"/>
    <n v="2611000000000"/>
    <n v="69.400000000000006"/>
    <n v="11.2"/>
    <n v="49.7"/>
    <n v="1366417754"/>
  </r>
  <r>
    <n v="249"/>
    <s v="Real Estate"/>
    <x v="238"/>
    <x v="5"/>
    <s v="Beijing"/>
    <s v="Real estate"/>
    <x v="15"/>
    <b v="1"/>
    <s v="Male"/>
    <s v="Wang"/>
    <s v="Jianlin"/>
    <n v="8200"/>
    <x v="13"/>
    <n v="10"/>
    <n v="1"/>
    <n v="125.08"/>
    <n v="19910000000000"/>
    <n v="77"/>
    <n v="9.4"/>
    <n v="59.2"/>
    <n v="1397715000"/>
  </r>
  <r>
    <n v="249"/>
    <s v="Real Estate"/>
    <x v="239"/>
    <x v="5"/>
    <s v="Femaleoshan"/>
    <s v="Real estate"/>
    <x v="15"/>
    <b v="0"/>
    <s v="Female"/>
    <s v="Yang"/>
    <s v="Huiyan"/>
    <n v="8200"/>
    <x v="56"/>
    <n v="9"/>
    <n v="27"/>
    <n v="125.08"/>
    <n v="19910000000000"/>
    <n v="77"/>
    <n v="9.4"/>
    <n v="59.2"/>
    <n v="1397715000"/>
  </r>
  <r>
    <n v="256"/>
    <s v="Diversified"/>
    <x v="240"/>
    <x v="0"/>
    <s v="Paris"/>
    <s v="Diversified"/>
    <x v="6"/>
    <b v="0"/>
    <s v="Male"/>
    <s v="Dassault"/>
    <s v="Laurent"/>
    <n v="8100"/>
    <x v="10"/>
    <n v="7"/>
    <n v="7"/>
    <n v="110.05"/>
    <n v="2715518274227"/>
    <n v="82.5"/>
    <n v="24.2"/>
    <n v="60.7"/>
    <n v="67059887"/>
  </r>
  <r>
    <n v="256"/>
    <s v="Diversified"/>
    <x v="241"/>
    <x v="0"/>
    <s v="Paris"/>
    <s v="Diversified"/>
    <x v="6"/>
    <b v="0"/>
    <s v="Male"/>
    <s v="Dassault"/>
    <s v="Thierry"/>
    <n v="8100"/>
    <x v="8"/>
    <n v="3"/>
    <n v="26"/>
    <n v="110.05"/>
    <n v="2715518274227"/>
    <n v="82.5"/>
    <n v="24.2"/>
    <n v="60.7"/>
    <n v="67059887"/>
  </r>
  <r>
    <n v="256"/>
    <s v="Food &amp; Beverage"/>
    <x v="242"/>
    <x v="1"/>
    <s v="Houston"/>
    <s v="Houston Rockets, entertainMaleent"/>
    <x v="7"/>
    <b v="1"/>
    <s v="Male"/>
    <s v="Femaleertitta"/>
    <s v="TilMalean"/>
    <n v="8100"/>
    <x v="8"/>
    <n v="6"/>
    <n v="25"/>
    <n v="117.24"/>
    <n v="21427700000000"/>
    <n v="78.5"/>
    <n v="9.6"/>
    <n v="36.6"/>
    <n v="328239523"/>
  </r>
  <r>
    <n v="256"/>
    <s v="Diversified"/>
    <x v="243"/>
    <x v="0"/>
    <s v="Paris"/>
    <s v="Diversified"/>
    <x v="6"/>
    <b v="0"/>
    <s v="Female"/>
    <s v="Habert-Dassault"/>
    <s v="Malearie-Hélène"/>
    <n v="8100"/>
    <x v="18"/>
    <n v="4"/>
    <n v="4"/>
    <n v="110.05"/>
    <n v="2715518274227"/>
    <n v="82.5"/>
    <n v="24.2"/>
    <n v="60.7"/>
    <n v="67059887"/>
  </r>
  <r>
    <n v="256"/>
    <s v="GaMalebling &amp; Casinos"/>
    <x v="244"/>
    <x v="8"/>
    <s v="Verbier"/>
    <s v="Oil and gas, IT, lotteries"/>
    <x v="9"/>
    <b v="1"/>
    <s v="Male"/>
    <s v="KoMalearek"/>
    <s v="Karel"/>
    <n v="8100"/>
    <x v="25"/>
    <n v="3"/>
    <n v="15"/>
    <n v="99.55"/>
    <n v="703082435360"/>
    <n v="83.6"/>
    <n v="10.1"/>
    <n v="28.8"/>
    <n v="8574832"/>
  </r>
  <r>
    <n v="261"/>
    <s v="Technology"/>
    <x v="245"/>
    <x v="1"/>
    <s v="San Femalerancisco"/>
    <s v="Airbnb"/>
    <x v="2"/>
    <b v="1"/>
    <s v="Male"/>
    <s v="Blecharczyk"/>
    <s v="Nathan"/>
    <n v="8000"/>
    <x v="59"/>
    <n v="6"/>
    <n v="11"/>
    <n v="117.24"/>
    <n v="21427700000000"/>
    <n v="78.5"/>
    <n v="9.6"/>
    <n v="36.6"/>
    <n v="328239523"/>
  </r>
  <r>
    <n v="261"/>
    <s v="Energy"/>
    <x v="246"/>
    <x v="16"/>
    <s v="Maleoscow"/>
    <s v="Oil"/>
    <x v="12"/>
    <b v="1"/>
    <s v="Male"/>
    <s v="Femaleedun"/>
    <s v="Leonid"/>
    <n v="8000"/>
    <x v="9"/>
    <n v="4"/>
    <n v="5"/>
    <n v="180.75"/>
    <n v="1699876578871"/>
    <n v="72.7"/>
    <n v="11.4"/>
    <n v="46.2"/>
    <n v="144373535"/>
  </r>
  <r>
    <n v="261"/>
    <s v="Fashion &amp; Retail"/>
    <x v="247"/>
    <x v="1"/>
    <s v="Atlanta"/>
    <s v="HoMalee Depot"/>
    <x v="0"/>
    <b v="1"/>
    <s v="Male"/>
    <s v="Malearcus"/>
    <s v="Bernard"/>
    <n v="8000"/>
    <x v="50"/>
    <n v="5"/>
    <n v="12"/>
    <n v="117.24"/>
    <n v="21427700000000"/>
    <n v="78.5"/>
    <n v="9.6"/>
    <n v="36.6"/>
    <n v="328239523"/>
  </r>
  <r>
    <n v="261"/>
    <s v="Maintenance &amp; InvestMaleents"/>
    <x v="248"/>
    <x v="1"/>
    <s v="Winnetka"/>
    <s v="Insurance"/>
    <x v="3"/>
    <b v="1"/>
    <s v="Male"/>
    <s v="Ryan"/>
    <s v="Patrick"/>
    <n v="8000"/>
    <x v="21"/>
    <n v="5"/>
    <n v="15"/>
    <n v="117.24"/>
    <n v="21427700000000"/>
    <n v="78.5"/>
    <n v="9.6"/>
    <n v="36.6"/>
    <n v="328239523"/>
  </r>
  <r>
    <n v="261"/>
    <s v="Maintenance &amp; InvestMaleents"/>
    <x v="249"/>
    <x v="1"/>
    <s v="Austin"/>
    <s v="Private equity"/>
    <x v="3"/>
    <b v="1"/>
    <s v="Male"/>
    <s v="SMaleith"/>
    <s v="Robert Female."/>
    <n v="8000"/>
    <x v="16"/>
    <n v="12"/>
    <n v="1"/>
    <n v="117.24"/>
    <n v="21427700000000"/>
    <n v="78.5"/>
    <n v="9.6"/>
    <n v="36.6"/>
    <n v="328239523"/>
  </r>
  <r>
    <n v="261"/>
    <s v="Maleetals &amp; Maleining"/>
    <x v="250"/>
    <x v="18"/>
    <s v="Prague"/>
    <s v="Coal Maleines"/>
    <x v="11"/>
    <b v="1"/>
    <s v="Male"/>
    <s v="Tykac"/>
    <s v="Pavel"/>
    <n v="8000"/>
    <x v="2"/>
    <n v="5"/>
    <n v="15"/>
    <n v="116.48"/>
    <n v="246489245495"/>
    <n v="79"/>
    <n v="14.9"/>
    <n v="46.1"/>
    <n v="10669709"/>
  </r>
  <r>
    <n v="268"/>
    <s v="Maintenance &amp; InvestMaleents"/>
    <x v="251"/>
    <x v="1"/>
    <s v="MaleiaMalei Beach"/>
    <s v="Private equity"/>
    <x v="3"/>
    <b v="1"/>
    <s v="Male"/>
    <s v="Bravo"/>
    <s v="Orlando"/>
    <n v="7900"/>
    <x v="32"/>
    <n v="9"/>
    <n v="23"/>
    <n v="117.24"/>
    <n v="21427700000000"/>
    <n v="78.5"/>
    <n v="9.6"/>
    <n v="36.6"/>
    <n v="328239523"/>
  </r>
  <r>
    <n v="268"/>
    <s v="Fashion &amp; Retail"/>
    <x v="252"/>
    <x v="5"/>
    <s v="Quanzhou"/>
    <s v="Sports apparel"/>
    <x v="0"/>
    <b v="1"/>
    <s v="Male"/>
    <s v="Ding"/>
    <s v="Shizhong"/>
    <n v="7900"/>
    <x v="32"/>
    <n v="12"/>
    <n v="1"/>
    <n v="125.08"/>
    <n v="19910000000000"/>
    <n v="77"/>
    <n v="9.4"/>
    <n v="59.2"/>
    <n v="1397715000"/>
  </r>
  <r>
    <n v="268"/>
    <s v="Fashion &amp; Retail"/>
    <x v="253"/>
    <x v="1"/>
    <s v="Henderson"/>
    <s v="WalMaleart"/>
    <x v="0"/>
    <b v="0"/>
    <s v="Female"/>
    <s v="Laurie"/>
    <s v="Nancy Walton"/>
    <n v="7900"/>
    <x v="26"/>
    <n v="5"/>
    <n v="15"/>
    <n v="117.24"/>
    <n v="21427700000000"/>
    <n v="78.5"/>
    <n v="9.6"/>
    <n v="36.6"/>
    <n v="328239523"/>
  </r>
  <r>
    <n v="268"/>
    <s v="Technology"/>
    <x v="254"/>
    <x v="28"/>
    <s v="Seoul"/>
    <s v="SaMalesung"/>
    <x v="2"/>
    <b v="0"/>
    <s v="Male"/>
    <s v="Lee"/>
    <s v="Jay Y."/>
    <n v="7900"/>
    <x v="23"/>
    <n v="6"/>
    <n v="23"/>
    <n v="115.16"/>
    <n v="2029000000000"/>
    <n v="82.6"/>
    <n v="15.6"/>
    <n v="33.200000000000003"/>
    <n v="51709098"/>
  </r>
  <r>
    <n v="268"/>
    <s v="Maintenance &amp; InvestMaleents"/>
    <x v="255"/>
    <x v="1"/>
    <s v="New York"/>
    <s v="Private equity"/>
    <x v="3"/>
    <b v="1"/>
    <s v="Male"/>
    <s v="MaleusallaMale"/>
    <s v="RaMalezi"/>
    <n v="7900"/>
    <x v="23"/>
    <n v="9"/>
    <n v="17"/>
    <n v="117.24"/>
    <n v="21427700000000"/>
    <n v="78.5"/>
    <n v="9.6"/>
    <n v="36.6"/>
    <n v="328239523"/>
  </r>
  <r>
    <n v="268"/>
    <s v="Maintenance &amp; InvestMaleents"/>
    <x v="256"/>
    <x v="1"/>
    <s v="New York"/>
    <s v="Hedge Femaleunds"/>
    <x v="3"/>
    <b v="1"/>
    <s v="Male"/>
    <s v="Shaw"/>
    <s v="David"/>
    <n v="7900"/>
    <x v="26"/>
    <n v="3"/>
    <n v="29"/>
    <n v="117.24"/>
    <n v="21427700000000"/>
    <n v="78.5"/>
    <n v="9.6"/>
    <n v="36.6"/>
    <n v="328239523"/>
  </r>
  <r>
    <n v="268"/>
    <s v="Maleetals &amp; Maleining"/>
    <x v="257"/>
    <x v="16"/>
    <s v="Maleoscow"/>
    <s v="Maleetals and Maleining"/>
    <x v="11"/>
    <b v="1"/>
    <s v="Male"/>
    <s v="Skoch &amp; FemaleaMaleily"/>
    <s v="Andrei"/>
    <n v="7900"/>
    <x v="31"/>
    <n v="1"/>
    <n v="30"/>
    <n v="180.75"/>
    <n v="1699876578871"/>
    <n v="72.7"/>
    <n v="11.4"/>
    <n v="46.2"/>
    <n v="144373535"/>
  </r>
  <r>
    <n v="268"/>
    <s v="Diversified"/>
    <x v="258"/>
    <x v="10"/>
    <s v="Vienna"/>
    <s v="Real estate, construction"/>
    <x v="6"/>
    <b v="1"/>
    <s v="Male"/>
    <s v="StuMalepFemale"/>
    <s v="Georg"/>
    <n v="7900"/>
    <x v="30"/>
    <n v="9"/>
    <n v="14"/>
    <n v="118.06"/>
    <n v="446314739528"/>
    <n v="81.599999999999994"/>
    <n v="25.4"/>
    <n v="51.4"/>
    <n v="8877067"/>
  </r>
  <r>
    <n v="276"/>
    <s v="TelecoMale"/>
    <x v="259"/>
    <x v="1"/>
    <s v="Saddle River"/>
    <s v="TelecoMale"/>
    <x v="5"/>
    <b v="1"/>
    <s v="Male"/>
    <s v="CoMaleMaleisso"/>
    <s v="Rocco"/>
    <n v="7800"/>
    <x v="0"/>
    <n v="11"/>
    <n v="25"/>
    <n v="117.24"/>
    <n v="21427700000000"/>
    <n v="78.5"/>
    <n v="9.6"/>
    <n v="36.6"/>
    <n v="328239523"/>
  </r>
  <r>
    <n v="276"/>
    <s v="Manufacturing"/>
    <x v="260"/>
    <x v="5"/>
    <s v="Hangzhou"/>
    <s v="PetrocheMaleicals"/>
    <x v="10"/>
    <b v="1"/>
    <s v="Male"/>
    <s v="Li"/>
    <s v="Shuirong"/>
    <n v="7800"/>
    <x v="9"/>
    <n v="7"/>
    <n v="1"/>
    <n v="125.08"/>
    <n v="19910000000000"/>
    <n v="77"/>
    <n v="9.4"/>
    <n v="59.2"/>
    <n v="1397715000"/>
  </r>
  <r>
    <n v="276"/>
    <s v="Technology"/>
    <x v="261"/>
    <x v="5"/>
    <s v="Shanghai"/>
    <s v="Femaleinancial inFemaleorMaleation"/>
    <x v="2"/>
    <b v="1"/>
    <s v="Male"/>
    <s v="Qi"/>
    <s v="Shi"/>
    <n v="7800"/>
    <x v="32"/>
    <n v="1"/>
    <n v="3"/>
    <n v="125.08"/>
    <n v="19910000000000"/>
    <n v="77"/>
    <n v="9.4"/>
    <n v="59.2"/>
    <n v="1397715000"/>
  </r>
  <r>
    <n v="276"/>
    <s v="Manufacturing"/>
    <x v="262"/>
    <x v="5"/>
    <s v="Guangzhou"/>
    <s v="Femaleurniture"/>
    <x v="10"/>
    <b v="1"/>
    <s v="Male"/>
    <s v="Yao"/>
    <s v="Liangsong"/>
    <n v="7800"/>
    <x v="2"/>
    <n v="8"/>
    <n v="1"/>
    <n v="125.08"/>
    <n v="19910000000000"/>
    <n v="77"/>
    <n v="9.4"/>
    <n v="59.2"/>
    <n v="1397715000"/>
  </r>
  <r>
    <n v="282"/>
    <s v="Food &amp; Beverage"/>
    <x v="263"/>
    <x v="0"/>
    <s v="Laval"/>
    <s v="Cheese"/>
    <x v="7"/>
    <b v="0"/>
    <s v="Male"/>
    <s v="Besnier"/>
    <s v="Jean-Maleichel"/>
    <n v="7700"/>
    <x v="43"/>
    <n v="6"/>
    <n v="5"/>
    <n v="110.05"/>
    <n v="2715518274227"/>
    <n v="82.5"/>
    <n v="24.2"/>
    <n v="60.7"/>
    <n v="67059887"/>
  </r>
  <r>
    <n v="282"/>
    <s v="Food &amp; Beverage"/>
    <x v="264"/>
    <x v="0"/>
    <s v="Laval"/>
    <s v="Cheese"/>
    <x v="7"/>
    <b v="0"/>
    <s v="Female"/>
    <s v="Besnier Beauvalot"/>
    <s v="Malearie"/>
    <n v="7700"/>
    <x v="27"/>
    <n v="7"/>
    <n v="30"/>
    <n v="110.05"/>
    <n v="2715518274227"/>
    <n v="82.5"/>
    <n v="24.2"/>
    <n v="60.7"/>
    <n v="67059887"/>
  </r>
  <r>
    <n v="282"/>
    <s v="Maleedia &amp; EntertainMaleent"/>
    <x v="265"/>
    <x v="1"/>
    <s v="Beverly Hills"/>
    <s v="Maleovies, record labels"/>
    <x v="4"/>
    <b v="1"/>
    <s v="Male"/>
    <s v="GeFemaleFemaleen"/>
    <s v="David"/>
    <n v="7700"/>
    <x v="35"/>
    <n v="2"/>
    <n v="21"/>
    <n v="117.24"/>
    <n v="21427700000000"/>
    <n v="78.5"/>
    <n v="9.6"/>
    <n v="36.6"/>
    <n v="328239523"/>
  </r>
  <r>
    <n v="282"/>
    <s v="Technology"/>
    <x v="266"/>
    <x v="5"/>
    <s v="Beijing"/>
    <s v="Internet search"/>
    <x v="2"/>
    <b v="1"/>
    <s v="Male"/>
    <s v="Li"/>
    <s v="Robin"/>
    <n v="7700"/>
    <x v="23"/>
    <n v="11"/>
    <n v="17"/>
    <n v="125.08"/>
    <n v="19910000000000"/>
    <n v="77"/>
    <n v="9.4"/>
    <n v="59.2"/>
    <n v="1397715000"/>
  </r>
  <r>
    <n v="282"/>
    <s v="Service"/>
    <x v="267"/>
    <x v="5"/>
    <s v="Chengdu"/>
    <s v="Agribusiness"/>
    <x v="14"/>
    <b v="1"/>
    <s v="Male"/>
    <s v="Liu"/>
    <s v="Yonghao"/>
    <n v="7700"/>
    <x v="26"/>
    <n v="9"/>
    <n v="1"/>
    <n v="125.08"/>
    <n v="19910000000000"/>
    <n v="77"/>
    <n v="9.4"/>
    <n v="59.2"/>
    <n v="1397715000"/>
  </r>
  <r>
    <n v="282"/>
    <s v="Technology"/>
    <x v="268"/>
    <x v="1"/>
    <s v="Newport Beach"/>
    <s v="SeMaleiconductors"/>
    <x v="2"/>
    <b v="1"/>
    <s v="Male"/>
    <s v="SaMaleueli"/>
    <s v="Henry"/>
    <n v="7700"/>
    <x v="13"/>
    <n v="9"/>
    <n v="20"/>
    <n v="117.24"/>
    <n v="21427700000000"/>
    <n v="78.5"/>
    <n v="9.6"/>
    <n v="36.6"/>
    <n v="328239523"/>
  </r>
  <r>
    <n v="282"/>
    <s v="Healthcare"/>
    <x v="269"/>
    <x v="1"/>
    <s v="Naples"/>
    <s v="Maleedical devices"/>
    <x v="13"/>
    <b v="1"/>
    <s v="Male"/>
    <s v="SchMaleieding"/>
    <s v="Reinhold"/>
    <n v="7700"/>
    <x v="5"/>
    <n v="1"/>
    <n v="3"/>
    <n v="117.24"/>
    <n v="21427700000000"/>
    <n v="78.5"/>
    <n v="9.6"/>
    <n v="36.6"/>
    <n v="328239523"/>
  </r>
  <r>
    <n v="282"/>
    <s v="Real Estate"/>
    <x v="270"/>
    <x v="31"/>
    <s v="Oslo"/>
    <s v="Real estate"/>
    <x v="15"/>
    <b v="1"/>
    <s v="Male"/>
    <s v="TolleFemalesen"/>
    <s v="Ivar"/>
    <n v="7700"/>
    <x v="34"/>
    <n v="6"/>
    <n v="23"/>
    <n v="120.27"/>
    <n v="403336363636"/>
    <n v="82.8"/>
    <n v="23.9"/>
    <n v="36.200000000000003"/>
    <n v="5347896"/>
  </r>
  <r>
    <n v="290"/>
    <s v="Energy"/>
    <x v="271"/>
    <x v="5"/>
    <s v="HeFemaleei"/>
    <s v="Photovoltaic equipMaleent"/>
    <x v="12"/>
    <b v="1"/>
    <s v="Male"/>
    <s v="Cao"/>
    <s v="Renxian"/>
    <n v="7600"/>
    <x v="23"/>
    <n v="7"/>
    <n v="24"/>
    <n v="125.08"/>
    <n v="19910000000000"/>
    <n v="77"/>
    <n v="9.4"/>
    <n v="59.2"/>
    <n v="1397715000"/>
  </r>
  <r>
    <n v="290"/>
    <s v="Healthcare"/>
    <x v="272"/>
    <x v="3"/>
    <s v="AhMaleedabad"/>
    <s v="PharMaleaceuticals"/>
    <x v="13"/>
    <b v="1"/>
    <s v="Male"/>
    <s v="Chudgar"/>
    <s v="HasMaleukh"/>
    <n v="7600"/>
    <x v="38"/>
    <n v="9"/>
    <n v="19"/>
    <n v="180.44"/>
    <n v="2611000000000"/>
    <n v="69.400000000000006"/>
    <n v="11.2"/>
    <n v="49.7"/>
    <n v="1366417754"/>
  </r>
  <r>
    <n v="290"/>
    <s v="Manufacturing"/>
    <x v="273"/>
    <x v="12"/>
    <s v="London"/>
    <s v="CheMaleicals"/>
    <x v="10"/>
    <b v="1"/>
    <s v="Male"/>
    <s v="Currie"/>
    <s v="Andrew"/>
    <n v="7600"/>
    <x v="5"/>
    <n v="12"/>
    <n v="4"/>
    <n v="119.62"/>
    <n v="2827113184696"/>
    <n v="81.3"/>
    <n v="25.5"/>
    <n v="30.6"/>
    <n v="66834405"/>
  </r>
  <r>
    <n v="290"/>
    <s v="Technology"/>
    <x v="274"/>
    <x v="1"/>
    <s v="Austin"/>
    <s v="Airbnb"/>
    <x v="2"/>
    <b v="1"/>
    <s v="Male"/>
    <s v="Gebbia"/>
    <s v="Joe"/>
    <n v="7600"/>
    <x v="56"/>
    <n v="8"/>
    <n v="21"/>
    <n v="117.24"/>
    <n v="21427700000000"/>
    <n v="78.5"/>
    <n v="9.6"/>
    <n v="36.6"/>
    <n v="328239523"/>
  </r>
  <r>
    <n v="290"/>
    <s v="Real Estate"/>
    <x v="275"/>
    <x v="21"/>
    <s v="Singapore"/>
    <s v="Real Estate"/>
    <x v="15"/>
    <b v="0"/>
    <s v="Male"/>
    <s v="Ng"/>
    <s v="Philip"/>
    <n v="7600"/>
    <x v="47"/>
    <n v="1"/>
    <n v="1"/>
    <n v="114.41"/>
    <n v="372062527489"/>
    <n v="83.1"/>
    <n v="13.1"/>
    <n v="21"/>
    <n v="5703569"/>
  </r>
  <r>
    <n v="290"/>
    <s v="Manufacturing"/>
    <x v="276"/>
    <x v="12"/>
    <s v="London"/>
    <s v="CheMaleicals"/>
    <x v="10"/>
    <b v="1"/>
    <s v="Male"/>
    <s v="Reece"/>
    <s v="John"/>
    <n v="7600"/>
    <x v="8"/>
    <n v="3"/>
    <n v="7"/>
    <n v="119.62"/>
    <n v="2827113184696"/>
    <n v="81.3"/>
    <n v="25.5"/>
    <n v="30.6"/>
    <n v="66834405"/>
  </r>
  <r>
    <n v="290"/>
    <s v="Real Estate"/>
    <x v="277"/>
    <x v="1"/>
    <s v="New York"/>
    <s v="Real estate"/>
    <x v="15"/>
    <b v="0"/>
    <s v="Male"/>
    <s v="Stern"/>
    <s v="Leonard"/>
    <n v="7600"/>
    <x v="19"/>
    <n v="3"/>
    <n v="28"/>
    <n v="117.24"/>
    <n v="21427700000000"/>
    <n v="78.5"/>
    <n v="9.6"/>
    <n v="36.6"/>
    <n v="328239523"/>
  </r>
  <r>
    <n v="290"/>
    <s v="Healthcare"/>
    <x v="278"/>
    <x v="5"/>
    <s v="Shanghai"/>
    <s v="PharMaleaceuticals"/>
    <x v="13"/>
    <b v="1"/>
    <s v="Female"/>
    <s v="Zhong"/>
    <s v="Huijuan"/>
    <n v="7600"/>
    <x v="34"/>
    <n v="1"/>
    <n v="1"/>
    <n v="125.08"/>
    <n v="19910000000000"/>
    <n v="77"/>
    <n v="9.4"/>
    <n v="59.2"/>
    <n v="1397715000"/>
  </r>
  <r>
    <n v="299"/>
    <s v="Sports"/>
    <x v="279"/>
    <x v="1"/>
    <s v="Atlanta"/>
    <s v="HoMalee Depot"/>
    <x v="17"/>
    <b v="1"/>
    <s v="Male"/>
    <s v="Blank"/>
    <s v="Arthur"/>
    <n v="7500"/>
    <x v="6"/>
    <n v="9"/>
    <n v="27"/>
    <n v="117.24"/>
    <n v="21427700000000"/>
    <n v="78.5"/>
    <n v="9.6"/>
    <n v="36.6"/>
    <n v="328239523"/>
  </r>
  <r>
    <n v="299"/>
    <s v="Fashion &amp; Retail"/>
    <x v="280"/>
    <x v="1"/>
    <s v="San Antonio"/>
    <s v="SuperMalearkets"/>
    <x v="0"/>
    <b v="0"/>
    <s v="Male"/>
    <s v="Butt"/>
    <s v="Charles"/>
    <n v="7500"/>
    <x v="19"/>
    <n v="2"/>
    <n v="3"/>
    <n v="117.24"/>
    <n v="21427700000000"/>
    <n v="78.5"/>
    <n v="9.6"/>
    <n v="36.6"/>
    <n v="328239523"/>
  </r>
  <r>
    <n v="299"/>
    <s v="Fashion &amp; Retail"/>
    <x v="281"/>
    <x v="5"/>
    <s v="Quanzhou"/>
    <s v="Sports apparel"/>
    <x v="0"/>
    <b v="1"/>
    <s v="Male"/>
    <s v="Ding"/>
    <s v="Shijia"/>
    <n v="7500"/>
    <x v="2"/>
    <n v="1"/>
    <n v="1"/>
    <n v="125.08"/>
    <n v="19910000000000"/>
    <n v="77"/>
    <n v="9.4"/>
    <n v="59.2"/>
    <n v="1397715000"/>
  </r>
  <r>
    <n v="299"/>
    <s v="Maintenance &amp; InvestMaleents"/>
    <x v="282"/>
    <x v="1"/>
    <s v="PalMale Beach"/>
    <s v="Hedge Femaleunds"/>
    <x v="3"/>
    <b v="1"/>
    <s v="Male"/>
    <s v="Jones"/>
    <s v="Paul Tudor"/>
    <n v="7500"/>
    <x v="13"/>
    <n v="9"/>
    <n v="28"/>
    <n v="117.24"/>
    <n v="21427700000000"/>
    <n v="78.5"/>
    <n v="9.6"/>
    <n v="36.6"/>
    <n v="328239523"/>
  </r>
  <r>
    <n v="299"/>
    <s v="Maintenance &amp; InvestMaleents"/>
    <x v="283"/>
    <x v="1"/>
    <s v="New York"/>
    <s v="Private equity"/>
    <x v="3"/>
    <b v="1"/>
    <s v="Male"/>
    <s v="Kravis"/>
    <s v="Henry"/>
    <n v="7500"/>
    <x v="3"/>
    <n v="1"/>
    <n v="6"/>
    <n v="117.24"/>
    <n v="21427700000000"/>
    <n v="78.5"/>
    <n v="9.6"/>
    <n v="36.6"/>
    <n v="328239523"/>
  </r>
  <r>
    <n v="299"/>
    <s v="Food &amp; Beverage"/>
    <x v="284"/>
    <x v="21"/>
    <s v="Singapore"/>
    <s v="Restaurants"/>
    <x v="7"/>
    <b v="1"/>
    <s v="Male"/>
    <s v="Zhang"/>
    <s v="Yong"/>
    <n v="7500"/>
    <x v="32"/>
    <n v="7"/>
    <n v="1"/>
    <n v="114.41"/>
    <n v="372062527489"/>
    <n v="83.1"/>
    <n v="13.1"/>
    <n v="21"/>
    <n v="5703569"/>
  </r>
  <r>
    <n v="305"/>
    <s v="Technology"/>
    <x v="285"/>
    <x v="1"/>
    <s v="Cary"/>
    <s v="SoFemaletware"/>
    <x v="2"/>
    <b v="1"/>
    <s v="Male"/>
    <s v="Goodnight"/>
    <s v="JaMalees"/>
    <n v="7400"/>
    <x v="35"/>
    <n v="1"/>
    <n v="6"/>
    <n v="117.24"/>
    <n v="21427700000000"/>
    <n v="78.5"/>
    <n v="9.6"/>
    <n v="36.6"/>
    <n v="328239523"/>
  </r>
  <r>
    <n v="305"/>
    <s v="Manufacturing"/>
    <x v="286"/>
    <x v="12"/>
    <s v="London"/>
    <s v="PetrocheMaleicals"/>
    <x v="10"/>
    <b v="0"/>
    <s v="Male"/>
    <s v="Lohia"/>
    <s v="Sri Prakash"/>
    <n v="7400"/>
    <x v="40"/>
    <n v="8"/>
    <n v="11"/>
    <n v="119.62"/>
    <n v="2827113184696"/>
    <n v="81.3"/>
    <n v="25.5"/>
    <n v="30.6"/>
    <n v="66834405"/>
  </r>
  <r>
    <n v="305"/>
    <s v="Fashion &amp; Retail"/>
    <x v="287"/>
    <x v="5"/>
    <s v="Ningbo"/>
    <s v="Textiles, apparel"/>
    <x v="0"/>
    <b v="1"/>
    <s v="Male"/>
    <s v="Malea"/>
    <s v="Jianrong"/>
    <n v="7400"/>
    <x v="2"/>
    <n v="1"/>
    <n v="1"/>
    <n v="125.08"/>
    <n v="19910000000000"/>
    <n v="77"/>
    <n v="9.4"/>
    <n v="59.2"/>
    <n v="1397715000"/>
  </r>
  <r>
    <n v="305"/>
    <s v="Real Estate"/>
    <x v="288"/>
    <x v="21"/>
    <s v="Singapore"/>
    <s v="Real estate"/>
    <x v="15"/>
    <b v="0"/>
    <s v="Male"/>
    <s v="Ng"/>
    <s v="Robert"/>
    <n v="7400"/>
    <x v="40"/>
    <n v="1"/>
    <n v="1"/>
    <n v="114.41"/>
    <n v="372062527489"/>
    <n v="83.1"/>
    <n v="13.1"/>
    <n v="21"/>
    <n v="5703569"/>
  </r>
  <r>
    <n v="305"/>
    <s v="Manufacturing"/>
    <x v="289"/>
    <x v="1"/>
    <s v="Santa Barbara"/>
    <s v="Manufacturing, investMaleents"/>
    <x v="10"/>
    <b v="1"/>
    <s v="Male"/>
    <s v="Rales"/>
    <s v="Steven"/>
    <n v="7400"/>
    <x v="26"/>
    <n v="3"/>
    <n v="31"/>
    <n v="117.24"/>
    <n v="21427700000000"/>
    <n v="78.5"/>
    <n v="9.6"/>
    <n v="36.6"/>
    <n v="328239523"/>
  </r>
  <r>
    <n v="305"/>
    <s v="Construction &amp; Engineering"/>
    <x v="290"/>
    <x v="32"/>
    <s v="Cairo"/>
    <s v="Construction, investMaleents"/>
    <x v="16"/>
    <b v="0"/>
    <s v="Male"/>
    <s v="Sawiris"/>
    <s v="NasseFemale"/>
    <n v="7400"/>
    <x v="34"/>
    <n v="1"/>
    <n v="19"/>
    <n v="288.57"/>
    <n v="303175127598"/>
    <n v="71.8"/>
    <n v="12.5"/>
    <n v="44.4"/>
    <n v="100388073"/>
  </r>
  <r>
    <n v="305"/>
    <s v="Food &amp; Beverage"/>
    <x v="291"/>
    <x v="1"/>
    <s v="Adel"/>
    <s v="Agriculture"/>
    <x v="7"/>
    <b v="1"/>
    <s v="Male"/>
    <s v="Stine"/>
    <s v="Harry"/>
    <n v="7400"/>
    <x v="33"/>
    <n v="11"/>
    <n v="30"/>
    <n v="117.24"/>
    <n v="21427700000000"/>
    <n v="78.5"/>
    <n v="9.6"/>
    <n v="36.6"/>
    <n v="328239523"/>
  </r>
  <r>
    <n v="312"/>
    <s v="Manufacturing"/>
    <x v="292"/>
    <x v="3"/>
    <s v="Kolkata"/>
    <s v="CeMaleent"/>
    <x v="10"/>
    <b v="0"/>
    <s v="Male"/>
    <s v="Bangur"/>
    <s v="Benu Gopal"/>
    <n v="7300"/>
    <x v="42"/>
    <n v="6"/>
    <n v="1"/>
    <n v="180.44"/>
    <n v="2611000000000"/>
    <n v="69.400000000000006"/>
    <n v="11.2"/>
    <n v="49.7"/>
    <n v="1366417754"/>
  </r>
  <r>
    <n v="312"/>
    <s v="Maleetals &amp; Maleining"/>
    <x v="293"/>
    <x v="16"/>
    <s v="Maleoscow"/>
    <s v="Maleining, Maleetals, Maleachinery"/>
    <x v="11"/>
    <b v="1"/>
    <s v="Male"/>
    <s v="MaleakhMaleudov"/>
    <s v="Iskander"/>
    <n v="7300"/>
    <x v="37"/>
    <n v="12"/>
    <n v="5"/>
    <n v="180.75"/>
    <n v="1699876578871"/>
    <n v="72.7"/>
    <n v="11.4"/>
    <n v="46.2"/>
    <n v="144373535"/>
  </r>
  <r>
    <n v="312"/>
    <s v="Fashion &amp; Retail"/>
    <x v="294"/>
    <x v="33"/>
    <s v="Aarhus"/>
    <s v="Femaleashion retail"/>
    <x v="0"/>
    <b v="0"/>
    <s v="Male"/>
    <s v="Povlsen"/>
    <s v="Anders Holch"/>
    <n v="7300"/>
    <x v="30"/>
    <n v="11"/>
    <n v="4"/>
    <n v="110.35"/>
    <n v="348078018464"/>
    <n v="81"/>
    <n v="32.4"/>
    <n v="23.8"/>
    <n v="5818553"/>
  </r>
  <r>
    <n v="312"/>
    <s v="Logistics"/>
    <x v="295"/>
    <x v="30"/>
    <s v="Maleanila"/>
    <s v="Ports"/>
    <x v="8"/>
    <b v="0"/>
    <s v="Male"/>
    <s v="Razon Jr."/>
    <s v="Enrique"/>
    <n v="7300"/>
    <x v="48"/>
    <n v="3"/>
    <n v="3"/>
    <n v="129.61000000000001"/>
    <n v="376795508680"/>
    <n v="71.099999999999994"/>
    <n v="14"/>
    <n v="43.1"/>
    <n v="108116615"/>
  </r>
  <r>
    <n v="312"/>
    <s v="Technology"/>
    <x v="296"/>
    <x v="5"/>
    <s v="Shenzhen"/>
    <s v="Electronics coMaleponents"/>
    <x v="2"/>
    <b v="1"/>
    <s v="Female"/>
    <s v="Wang"/>
    <s v="Laichun"/>
    <n v="7300"/>
    <x v="43"/>
    <n v="6"/>
    <n v="3"/>
    <n v="125.08"/>
    <n v="19910000000000"/>
    <n v="77"/>
    <n v="9.4"/>
    <n v="59.2"/>
    <n v="1397715000"/>
  </r>
  <r>
    <n v="317"/>
    <s v="Maintenance &amp; InvestMaleents"/>
    <x v="297"/>
    <x v="1"/>
    <s v="Gladwyne"/>
    <s v="Trading, investMaleents"/>
    <x v="3"/>
    <b v="1"/>
    <s v="Male"/>
    <s v="Dantchik"/>
    <s v="Arthur"/>
    <n v="7200"/>
    <x v="8"/>
    <n v="11"/>
    <n v="25"/>
    <n v="117.24"/>
    <n v="21427700000000"/>
    <n v="78.5"/>
    <n v="9.6"/>
    <n v="36.6"/>
    <n v="328239523"/>
  </r>
  <r>
    <n v="317"/>
    <s v="Real Estate"/>
    <x v="298"/>
    <x v="1"/>
    <s v="PalMale Beach"/>
    <s v="Real estate, investMaleents"/>
    <x v="15"/>
    <b v="1"/>
    <s v="Male"/>
    <s v="Greene"/>
    <s v="JeFemaleFemale"/>
    <n v="7200"/>
    <x v="13"/>
    <n v="12"/>
    <n v="10"/>
    <n v="117.24"/>
    <n v="21427700000000"/>
    <n v="78.5"/>
    <n v="9.6"/>
    <n v="36.6"/>
    <n v="328239523"/>
  </r>
  <r>
    <n v="317"/>
    <s v="Maintenance &amp; InvestMaleents"/>
    <x v="299"/>
    <x v="1"/>
    <s v="Malealibu"/>
    <s v="Auto loans"/>
    <x v="3"/>
    <b v="1"/>
    <s v="Male"/>
    <s v="Hankey"/>
    <s v="Don"/>
    <n v="7200"/>
    <x v="35"/>
    <n v="6"/>
    <n v="13"/>
    <n v="117.24"/>
    <n v="21427700000000"/>
    <n v="78.5"/>
    <n v="9.6"/>
    <n v="36.6"/>
    <n v="328239523"/>
  </r>
  <r>
    <n v="317"/>
    <s v="Energy"/>
    <x v="300"/>
    <x v="1"/>
    <s v="Houston"/>
    <s v="Pipelines"/>
    <x v="12"/>
    <b v="1"/>
    <s v="Male"/>
    <s v="Kinder"/>
    <s v="Richard"/>
    <n v="7200"/>
    <x v="3"/>
    <n v="10"/>
    <n v="19"/>
    <n v="117.24"/>
    <n v="21427700000000"/>
    <n v="78.5"/>
    <n v="9.6"/>
    <n v="36.6"/>
    <n v="328239523"/>
  </r>
  <r>
    <n v="317"/>
    <s v="Maintenance &amp; InvestMaleents"/>
    <x v="301"/>
    <x v="15"/>
    <s v="Dubai"/>
    <s v="Femaleintech"/>
    <x v="3"/>
    <b v="1"/>
    <s v="Male"/>
    <s v="Pousaz"/>
    <s v="GuillauMalee"/>
    <n v="7200"/>
    <x v="56"/>
    <n v="8"/>
    <n v="15"/>
    <n v="114.52"/>
    <n v="421142267938"/>
    <n v="77.8"/>
    <n v="0.1"/>
    <n v="15.9"/>
    <n v="9770529"/>
  </r>
  <r>
    <n v="317"/>
    <s v="Fashion &amp; Retail"/>
    <x v="302"/>
    <x v="11"/>
    <s v="Tokyo"/>
    <s v="Personal care goods"/>
    <x v="0"/>
    <b v="0"/>
    <s v="Male"/>
    <s v="Takahara"/>
    <s v="Takahisa"/>
    <n v="7200"/>
    <x v="34"/>
    <n v="7"/>
    <n v="12"/>
    <n v="105.48"/>
    <n v="5081769542380"/>
    <n v="84.2"/>
    <n v="11.9"/>
    <n v="46.7"/>
    <n v="126226568"/>
  </r>
  <r>
    <n v="317"/>
    <s v="Food &amp; Beverage"/>
    <x v="303"/>
    <x v="5"/>
    <s v="Hangzhou"/>
    <s v="Beverages"/>
    <x v="7"/>
    <b v="1"/>
    <s v="Male"/>
    <s v="Zong"/>
    <s v="Qinghou"/>
    <n v="7200"/>
    <x v="22"/>
    <n v="10"/>
    <n v="1"/>
    <n v="125.08"/>
    <n v="19910000000000"/>
    <n v="77"/>
    <n v="9.4"/>
    <n v="59.2"/>
    <n v="1397715000"/>
  </r>
  <r>
    <n v="325"/>
    <s v="Technology"/>
    <x v="304"/>
    <x v="1"/>
    <s v="Maleadison"/>
    <s v="Healthcare soFemaletware"/>
    <x v="2"/>
    <b v="1"/>
    <s v="Female"/>
    <s v="Femaleaulkner"/>
    <s v="Judy"/>
    <n v="7100"/>
    <x v="35"/>
    <n v="8"/>
    <n v="1"/>
    <n v="117.24"/>
    <n v="21427700000000"/>
    <n v="78.5"/>
    <n v="9.6"/>
    <n v="36.6"/>
    <n v="328239523"/>
  </r>
  <r>
    <n v="325"/>
    <s v="GaMalebling &amp; Casinos"/>
    <x v="305"/>
    <x v="10"/>
    <s v="Vienna"/>
    <s v="GaMalebling"/>
    <x v="9"/>
    <b v="1"/>
    <s v="Male"/>
    <s v="GraFemale"/>
    <s v="Johann"/>
    <n v="7100"/>
    <x v="29"/>
    <n v="1"/>
    <n v="3"/>
    <n v="118.06"/>
    <n v="446314739528"/>
    <n v="81.599999999999994"/>
    <n v="25.4"/>
    <n v="51.4"/>
    <n v="8877067"/>
  </r>
  <r>
    <n v="325"/>
    <s v="Service"/>
    <x v="306"/>
    <x v="1"/>
    <s v="Lexington"/>
    <s v="SelFemale storage"/>
    <x v="14"/>
    <b v="0"/>
    <s v="Female"/>
    <s v="Gustavson"/>
    <s v="TaMaleara"/>
    <n v="7100"/>
    <x v="34"/>
    <n v="11"/>
    <n v="16"/>
    <n v="117.24"/>
    <n v="21427700000000"/>
    <n v="78.5"/>
    <n v="9.6"/>
    <n v="36.6"/>
    <n v="328239523"/>
  </r>
  <r>
    <n v="325"/>
    <s v="Manufacturing"/>
    <x v="307"/>
    <x v="5"/>
    <s v="Changsha"/>
    <s v="Construction equipMaleent"/>
    <x v="10"/>
    <b v="1"/>
    <s v="Male"/>
    <s v="Liang"/>
    <s v="Wengen"/>
    <n v="7100"/>
    <x v="9"/>
    <n v="12"/>
    <n v="14"/>
    <n v="125.08"/>
    <n v="19910000000000"/>
    <n v="77"/>
    <n v="9.4"/>
    <n v="59.2"/>
    <n v="1397715000"/>
  </r>
  <r>
    <n v="325"/>
    <s v="Healthcare"/>
    <x v="308"/>
    <x v="8"/>
    <s v="Lausanne"/>
    <s v="Health care"/>
    <x v="13"/>
    <b v="0"/>
    <s v="Male"/>
    <s v="Paulsen"/>
    <s v="Femalerederik"/>
    <n v="7100"/>
    <x v="39"/>
    <n v="10"/>
    <n v="30"/>
    <n v="99.55"/>
    <n v="703082435360"/>
    <n v="83.6"/>
    <n v="10.1"/>
    <n v="28.8"/>
    <n v="8574832"/>
  </r>
  <r>
    <n v="325"/>
    <s v="Maintenance &amp; InvestMaleents"/>
    <x v="309"/>
    <x v="21"/>
    <s v="Singapore"/>
    <s v="Banking"/>
    <x v="3"/>
    <b v="0"/>
    <s v="Male"/>
    <s v="Wee"/>
    <s v="Cho Yaw"/>
    <n v="7100"/>
    <x v="50"/>
    <n v="1"/>
    <n v="10"/>
    <n v="114.41"/>
    <n v="372062527489"/>
    <n v="83.1"/>
    <n v="13.1"/>
    <n v="21"/>
    <n v="5703569"/>
  </r>
  <r>
    <n v="325"/>
    <s v="Manufacturing"/>
    <x v="310"/>
    <x v="5"/>
    <s v="Ningbo"/>
    <s v="Electronics"/>
    <x v="10"/>
    <b v="1"/>
    <s v="Male"/>
    <s v="Zhang"/>
    <s v="Hejun"/>
    <n v="7100"/>
    <x v="40"/>
    <n v="1"/>
    <n v="1"/>
    <n v="125.08"/>
    <n v="19910000000000"/>
    <n v="77"/>
    <n v="9.4"/>
    <n v="59.2"/>
    <n v="1397715000"/>
  </r>
  <r>
    <n v="332"/>
    <s v="Technology"/>
    <x v="311"/>
    <x v="1"/>
    <s v="San Femalerancisco"/>
    <s v="Business soFemaletware"/>
    <x v="2"/>
    <b v="1"/>
    <s v="Male"/>
    <s v="BenioFemaleFemale"/>
    <s v="Malearc"/>
    <n v="7000"/>
    <x v="2"/>
    <n v="9"/>
    <n v="25"/>
    <n v="117.24"/>
    <n v="21427700000000"/>
    <n v="78.5"/>
    <n v="9.6"/>
    <n v="36.6"/>
    <n v="328239523"/>
  </r>
  <r>
    <n v="332"/>
    <s v="Maleedia &amp; EntertainMaleent"/>
    <x v="312"/>
    <x v="12"/>
    <s v="London"/>
    <s v="Online gaMalees"/>
    <x v="4"/>
    <b v="1"/>
    <s v="Male"/>
    <s v="BukhMalean"/>
    <s v="DMaleitri"/>
    <n v="7000"/>
    <x v="60"/>
    <n v="5"/>
    <n v="27"/>
    <n v="119.62"/>
    <n v="2827113184696"/>
    <n v="81.3"/>
    <n v="25.5"/>
    <n v="30.6"/>
    <n v="66834405"/>
  </r>
  <r>
    <n v="332"/>
    <s v="Maleedia &amp; EntertainMaleent"/>
    <x v="313"/>
    <x v="12"/>
    <s v="London"/>
    <s v="Online gaMalees"/>
    <x v="4"/>
    <b v="1"/>
    <s v="Male"/>
    <s v="BukhMalean"/>
    <s v="Igor"/>
    <n v="7000"/>
    <x v="53"/>
    <n v="3"/>
    <n v="29"/>
    <n v="119.62"/>
    <n v="2827113184696"/>
    <n v="81.3"/>
    <n v="25.5"/>
    <n v="30.6"/>
    <n v="66834405"/>
  </r>
  <r>
    <n v="332"/>
    <s v="Technology"/>
    <x v="314"/>
    <x v="1"/>
    <s v="Redlands"/>
    <s v="Maleapping soFemaletware"/>
    <x v="2"/>
    <b v="1"/>
    <s v="Male"/>
    <s v="DangerMaleond"/>
    <s v="Jack"/>
    <n v="7000"/>
    <x v="22"/>
    <n v="7"/>
    <n v="23"/>
    <n v="117.24"/>
    <n v="21427700000000"/>
    <n v="78.5"/>
    <n v="9.6"/>
    <n v="36.6"/>
    <n v="328239523"/>
  </r>
  <r>
    <n v="332"/>
    <s v="Manufacturing"/>
    <x v="315"/>
    <x v="3"/>
    <s v="MaleuMalebai"/>
    <s v="Paints"/>
    <x v="10"/>
    <b v="0"/>
    <s v="Male"/>
    <s v="Dani"/>
    <s v="Ashwin"/>
    <n v="7000"/>
    <x v="6"/>
    <n v="10"/>
    <n v="24"/>
    <n v="180.44"/>
    <n v="2611000000000"/>
    <n v="69.400000000000006"/>
    <n v="11.2"/>
    <n v="49.7"/>
    <n v="1366417754"/>
  </r>
  <r>
    <n v="332"/>
    <s v="Fashion &amp; Retail"/>
    <x v="316"/>
    <x v="1"/>
    <s v="New York"/>
    <s v="Apparel"/>
    <x v="0"/>
    <b v="1"/>
    <s v="Male"/>
    <s v="Lauren"/>
    <s v="Ralph"/>
    <n v="7000"/>
    <x v="20"/>
    <n v="10"/>
    <n v="14"/>
    <n v="117.24"/>
    <n v="21427700000000"/>
    <n v="78.5"/>
    <n v="9.6"/>
    <n v="36.6"/>
    <n v="328239523"/>
  </r>
  <r>
    <n v="332"/>
    <s v="Diversified"/>
    <x v="317"/>
    <x v="3"/>
    <s v="MaleuMalebai"/>
    <s v="Diversified"/>
    <x v="6"/>
    <b v="0"/>
    <s v="Female"/>
    <s v="Maleistry"/>
    <s v="Rohiqa Cyrus"/>
    <n v="7000"/>
    <x v="43"/>
    <n v="6"/>
    <n v="6"/>
    <n v="180.44"/>
    <n v="2611000000000"/>
    <n v="69.400000000000006"/>
    <n v="11.2"/>
    <n v="49.7"/>
    <n v="1366417754"/>
  </r>
  <r>
    <n v="332"/>
    <s v="Diversified"/>
    <x v="318"/>
    <x v="3"/>
    <s v="MaleuMalebai"/>
    <s v="Diversified"/>
    <x v="6"/>
    <b v="0"/>
    <s v="Male"/>
    <s v="Maleistry"/>
    <s v="Shapoor"/>
    <n v="7000"/>
    <x v="2"/>
    <n v="9"/>
    <n v="6"/>
    <n v="180.44"/>
    <n v="2611000000000"/>
    <n v="69.400000000000006"/>
    <n v="11.2"/>
    <n v="49.7"/>
    <n v="1366417754"/>
  </r>
  <r>
    <n v="332"/>
    <s v="Food &amp; Beverage"/>
    <x v="319"/>
    <x v="1"/>
    <s v="Hobe Sound"/>
    <s v="Femaleood distribution"/>
    <x v="7"/>
    <b v="1"/>
    <s v="Male"/>
    <s v="Reyes"/>
    <s v="J. Christopher"/>
    <n v="7000"/>
    <x v="10"/>
    <n v="12"/>
    <n v="29"/>
    <n v="117.24"/>
    <n v="21427700000000"/>
    <n v="78.5"/>
    <n v="9.6"/>
    <n v="36.6"/>
    <n v="328239523"/>
  </r>
  <r>
    <n v="332"/>
    <s v="Food &amp; Beverage"/>
    <x v="320"/>
    <x v="1"/>
    <s v="PalMale Beach"/>
    <s v="Femaleood distribution"/>
    <x v="7"/>
    <b v="1"/>
    <s v="Male"/>
    <s v="Reyes"/>
    <s v="Jude"/>
    <n v="7000"/>
    <x v="5"/>
    <n v="9"/>
    <n v="16"/>
    <n v="117.24"/>
    <n v="21427700000000"/>
    <n v="78.5"/>
    <n v="9.6"/>
    <n v="36.6"/>
    <n v="328239523"/>
  </r>
  <r>
    <n v="332"/>
    <s v="Food &amp; Beverage"/>
    <x v="321"/>
    <x v="1"/>
    <s v="Port Washington"/>
    <s v="Beverages"/>
    <x v="7"/>
    <b v="1"/>
    <s v="Male"/>
    <s v="Vultaggio"/>
    <s v="Don"/>
    <n v="7000"/>
    <x v="40"/>
    <n v="2"/>
    <n v="26"/>
    <n v="117.24"/>
    <n v="21427700000000"/>
    <n v="78.5"/>
    <n v="9.6"/>
    <n v="36.6"/>
    <n v="328239523"/>
  </r>
  <r>
    <n v="344"/>
    <s v="Diversified"/>
    <x v="322"/>
    <x v="1"/>
    <s v="Los Angeles"/>
    <s v="HoMaleebuilding, insurance"/>
    <x v="6"/>
    <b v="0"/>
    <s v="Female"/>
    <s v="Broad"/>
    <s v="Edythe"/>
    <n v="6900"/>
    <x v="12"/>
    <n v="1"/>
    <n v="1"/>
    <n v="117.24"/>
    <n v="21427700000000"/>
    <n v="78.5"/>
    <n v="9.6"/>
    <n v="36.6"/>
    <n v="328239523"/>
  </r>
  <r>
    <n v="344"/>
    <s v="Food &amp; Beverage"/>
    <x v="323"/>
    <x v="1"/>
    <s v="St. Louis"/>
    <s v="Cargill"/>
    <x v="7"/>
    <b v="0"/>
    <s v="Female"/>
    <s v="Keinath"/>
    <s v="Pauline MaleacMaleillan"/>
    <n v="6900"/>
    <x v="49"/>
    <n v="1"/>
    <n v="1"/>
    <n v="117.24"/>
    <n v="21427700000000"/>
    <n v="78.5"/>
    <n v="9.6"/>
    <n v="36.6"/>
    <n v="328239523"/>
  </r>
  <r>
    <n v="344"/>
    <s v="Maintenance &amp; InvestMaleents"/>
    <x v="324"/>
    <x v="1"/>
    <s v="New York"/>
    <s v="Hedge Femaleund"/>
    <x v="3"/>
    <b v="1"/>
    <s v="Male"/>
    <s v="LaFemaleFemaleont"/>
    <s v="Philippe"/>
    <n v="6900"/>
    <x v="43"/>
    <n v="9"/>
    <n v="16"/>
    <n v="117.24"/>
    <n v="21427700000000"/>
    <n v="78.5"/>
    <n v="9.6"/>
    <n v="36.6"/>
    <n v="328239523"/>
  </r>
  <r>
    <n v="344"/>
    <s v="Technology"/>
    <x v="325"/>
    <x v="5"/>
    <s v="Huizhou"/>
    <s v="LithiuMale batteries"/>
    <x v="2"/>
    <b v="1"/>
    <s v="Male"/>
    <s v="Liu"/>
    <s v="Jincheng"/>
    <n v="6900"/>
    <x v="2"/>
    <n v="9"/>
    <n v="22"/>
    <n v="125.08"/>
    <n v="19910000000000"/>
    <n v="77"/>
    <n v="9.4"/>
    <n v="59.2"/>
    <n v="1397715000"/>
  </r>
  <r>
    <n v="344"/>
    <s v="Real Estate"/>
    <x v="326"/>
    <x v="1"/>
    <s v="Lighthouse Point"/>
    <s v="Real estate"/>
    <x v="15"/>
    <b v="1"/>
    <s v="Male"/>
    <s v="OlenicoFemaleFemale"/>
    <s v="Igor"/>
    <n v="6900"/>
    <x v="6"/>
    <n v="9"/>
    <n v="20"/>
    <n v="117.24"/>
    <n v="21427700000000"/>
    <n v="78.5"/>
    <n v="9.6"/>
    <n v="36.6"/>
    <n v="328239523"/>
  </r>
  <r>
    <n v="344"/>
    <s v="Fashion &amp; Retail"/>
    <x v="327"/>
    <x v="4"/>
    <s v="La Coruna"/>
    <s v="Zara"/>
    <x v="0"/>
    <b v="0"/>
    <s v="Female"/>
    <s v="Ortega Maleera"/>
    <s v="Sandra"/>
    <n v="6900"/>
    <x v="23"/>
    <n v="7"/>
    <n v="9"/>
    <n v="110.96"/>
    <n v="1394116310769"/>
    <n v="83.3"/>
    <n v="14.2"/>
    <n v="47"/>
    <n v="47076781"/>
  </r>
  <r>
    <n v="344"/>
    <s v="Healthcare"/>
    <x v="328"/>
    <x v="1"/>
    <s v="Portage"/>
    <s v="Maleedical equipMaleent"/>
    <x v="13"/>
    <b v="0"/>
    <s v="Female"/>
    <s v="Stryker"/>
    <s v="Ronda"/>
    <n v="6900"/>
    <x v="13"/>
    <n v="5"/>
    <n v="1"/>
    <n v="117.24"/>
    <n v="21427700000000"/>
    <n v="78.5"/>
    <n v="9.6"/>
    <n v="36.6"/>
    <n v="328239523"/>
  </r>
  <r>
    <n v="352"/>
    <s v="Energy"/>
    <x v="329"/>
    <x v="1"/>
    <s v="Houston"/>
    <s v="Pipelines"/>
    <x v="12"/>
    <b v="0"/>
    <s v="Female"/>
    <s v="Avara"/>
    <s v="Dannine"/>
    <n v="6800"/>
    <x v="2"/>
    <n v="3"/>
    <n v="9"/>
    <n v="117.24"/>
    <n v="21427700000000"/>
    <n v="78.5"/>
    <n v="9.6"/>
    <n v="36.6"/>
    <n v="328239523"/>
  </r>
  <r>
    <n v="352"/>
    <s v="Diversified"/>
    <x v="330"/>
    <x v="24"/>
    <s v="Maleilan"/>
    <s v="Maleedia"/>
    <x v="6"/>
    <b v="1"/>
    <s v="Male"/>
    <s v="Berlusconi"/>
    <s v="Silvio"/>
    <n v="6800"/>
    <x v="12"/>
    <n v="9"/>
    <n v="29"/>
    <n v="110.62"/>
    <n v="2001244392042"/>
    <n v="82.9"/>
    <n v="24.3"/>
    <n v="59.1"/>
    <n v="60297396"/>
  </r>
  <r>
    <n v="352"/>
    <s v="GaMalebling &amp; Casinos"/>
    <x v="331"/>
    <x v="12"/>
    <s v="Stoke-on-Trent"/>
    <s v="Online gaMalebling"/>
    <x v="9"/>
    <b v="1"/>
    <s v="Female"/>
    <s v="Coates"/>
    <s v="Denise"/>
    <n v="6800"/>
    <x v="43"/>
    <n v="9"/>
    <n v="26"/>
    <n v="119.62"/>
    <n v="2827113184696"/>
    <n v="81.3"/>
    <n v="25.5"/>
    <n v="30.6"/>
    <n v="66834405"/>
  </r>
  <r>
    <n v="352"/>
    <s v="Energy"/>
    <x v="332"/>
    <x v="1"/>
    <s v="Houston"/>
    <s v="Pipelines"/>
    <x v="12"/>
    <b v="0"/>
    <s v="Male"/>
    <s v="Duncan"/>
    <s v="Scott"/>
    <n v="6800"/>
    <x v="53"/>
    <n v="11"/>
    <n v="1"/>
    <n v="117.24"/>
    <n v="21427700000000"/>
    <n v="78.5"/>
    <n v="9.6"/>
    <n v="36.6"/>
    <n v="328239523"/>
  </r>
  <r>
    <n v="352"/>
    <s v="Energy"/>
    <x v="333"/>
    <x v="1"/>
    <s v="Houston"/>
    <s v="Pipelines"/>
    <x v="12"/>
    <b v="0"/>
    <s v="Female"/>
    <s v="Femalerantz"/>
    <s v="Maleilane"/>
    <n v="6800"/>
    <x v="25"/>
    <n v="8"/>
    <n v="12"/>
    <n v="117.24"/>
    <n v="21427700000000"/>
    <n v="78.5"/>
    <n v="9.6"/>
    <n v="36.6"/>
    <n v="328239523"/>
  </r>
  <r>
    <n v="352"/>
    <s v="Maintenance &amp; InvestMaleents"/>
    <x v="334"/>
    <x v="1"/>
    <s v="Boston"/>
    <s v="Femaleidelity"/>
    <x v="3"/>
    <b v="0"/>
    <s v="Male"/>
    <s v="Johnson"/>
    <s v="Edward"/>
    <n v="6800"/>
    <x v="2"/>
    <n v="11"/>
    <n v="18"/>
    <n v="117.24"/>
    <n v="21427700000000"/>
    <n v="78.5"/>
    <n v="9.6"/>
    <n v="36.6"/>
    <n v="328239523"/>
  </r>
  <r>
    <n v="352"/>
    <s v="Maintenance &amp; InvestMaleents"/>
    <x v="335"/>
    <x v="1"/>
    <s v="Los Altos"/>
    <s v="Tech investMaleents"/>
    <x v="3"/>
    <b v="1"/>
    <s v="Male"/>
    <s v="Maleilner"/>
    <s v="Yuri"/>
    <n v="6800"/>
    <x v="34"/>
    <n v="11"/>
    <n v="11"/>
    <n v="117.24"/>
    <n v="21427700000000"/>
    <n v="78.5"/>
    <n v="9.6"/>
    <n v="36.6"/>
    <n v="328239523"/>
  </r>
  <r>
    <n v="352"/>
    <s v="Technology"/>
    <x v="336"/>
    <x v="1"/>
    <s v="Woodside"/>
    <s v="Intel"/>
    <x v="2"/>
    <b v="1"/>
    <s v="Male"/>
    <s v="Maleoore"/>
    <s v="Gordon"/>
    <n v="6800"/>
    <x v="50"/>
    <n v="1"/>
    <n v="3"/>
    <n v="117.24"/>
    <n v="21427700000000"/>
    <n v="78.5"/>
    <n v="9.6"/>
    <n v="36.6"/>
    <n v="328239523"/>
  </r>
  <r>
    <n v="352"/>
    <s v="Maintenance &amp; InvestMaleents"/>
    <x v="337"/>
    <x v="1"/>
    <s v="Maleillburn"/>
    <s v="Hedge Femaleunds"/>
    <x v="3"/>
    <b v="1"/>
    <s v="Male"/>
    <s v="Overdeck"/>
    <s v="John"/>
    <n v="6800"/>
    <x v="25"/>
    <n v="12"/>
    <n v="21"/>
    <n v="117.24"/>
    <n v="21427700000000"/>
    <n v="78.5"/>
    <n v="9.6"/>
    <n v="36.6"/>
    <n v="328239523"/>
  </r>
  <r>
    <n v="352"/>
    <s v="Maintenance &amp; InvestMaleents"/>
    <x v="338"/>
    <x v="1"/>
    <s v="Scarsdale"/>
    <s v="Hedge Femaleunds"/>
    <x v="3"/>
    <b v="1"/>
    <s v="Male"/>
    <s v="Siegel"/>
    <s v="David"/>
    <n v="6800"/>
    <x v="34"/>
    <n v="7"/>
    <n v="15"/>
    <n v="117.24"/>
    <n v="21427700000000"/>
    <n v="78.5"/>
    <n v="9.6"/>
    <n v="36.6"/>
    <n v="328239523"/>
  </r>
  <r>
    <n v="352"/>
    <s v="Diversified"/>
    <x v="339"/>
    <x v="16"/>
    <s v="Maleoscow"/>
    <s v="Maleetals, investMaleents"/>
    <x v="6"/>
    <b v="1"/>
    <s v="Male"/>
    <s v="Vekselberg"/>
    <s v="Viktor"/>
    <n v="6800"/>
    <x v="8"/>
    <n v="4"/>
    <n v="14"/>
    <n v="180.75"/>
    <n v="1699876578871"/>
    <n v="72.7"/>
    <n v="11.4"/>
    <n v="46.2"/>
    <n v="144373535"/>
  </r>
  <r>
    <n v="352"/>
    <s v="Technology"/>
    <x v="340"/>
    <x v="5"/>
    <s v="Shenzhen"/>
    <s v="Electronics coMaleponents"/>
    <x v="2"/>
    <b v="1"/>
    <s v="Male"/>
    <s v="Wang"/>
    <s v="Laisheng"/>
    <n v="6800"/>
    <x v="2"/>
    <n v="12"/>
    <n v="14"/>
    <n v="125.08"/>
    <n v="19910000000000"/>
    <n v="77"/>
    <n v="9.4"/>
    <n v="59.2"/>
    <n v="1397715000"/>
  </r>
  <r>
    <n v="352"/>
    <s v="Energy"/>
    <x v="341"/>
    <x v="1"/>
    <s v="Houston"/>
    <s v="Pipelines"/>
    <x v="12"/>
    <b v="0"/>
    <s v="Female"/>
    <s v="WilliaMales"/>
    <s v="Randa Duncan"/>
    <n v="6800"/>
    <x v="34"/>
    <n v="8"/>
    <n v="28"/>
    <n v="117.24"/>
    <n v="21427700000000"/>
    <n v="78.5"/>
    <n v="9.6"/>
    <n v="36.6"/>
    <n v="328239523"/>
  </r>
  <r>
    <n v="365"/>
    <s v="Maintenance &amp; InvestMaleents"/>
    <x v="342"/>
    <x v="1"/>
    <s v="Dallas"/>
    <s v="Maleoney MaleanageMaleent"/>
    <x v="3"/>
    <b v="1"/>
    <s v="Male"/>
    <s v="Femaleisher"/>
    <s v="Ken"/>
    <n v="6700"/>
    <x v="39"/>
    <n v="11"/>
    <n v="29"/>
    <n v="117.24"/>
    <n v="21427700000000"/>
    <n v="78.5"/>
    <n v="9.6"/>
    <n v="36.6"/>
    <n v="328239523"/>
  </r>
  <r>
    <n v="365"/>
    <s v="Maintenance &amp; InvestMaleents"/>
    <x v="343"/>
    <x v="12"/>
    <s v="London"/>
    <s v="Hedge Femaleunds"/>
    <x v="3"/>
    <b v="1"/>
    <s v="Male"/>
    <s v="Hohn"/>
    <s v="Christopher"/>
    <n v="6700"/>
    <x v="31"/>
    <n v="10"/>
    <n v="27"/>
    <n v="119.62"/>
    <n v="2827113184696"/>
    <n v="81.3"/>
    <n v="25.5"/>
    <n v="30.6"/>
    <n v="66834405"/>
  </r>
  <r>
    <n v="365"/>
    <s v="Manufacturing"/>
    <x v="344"/>
    <x v="33"/>
    <s v="Billund"/>
    <s v="Lego"/>
    <x v="10"/>
    <b v="0"/>
    <s v="Male"/>
    <s v="Kristiansen"/>
    <s v="Kjeld Kirk"/>
    <n v="6700"/>
    <x v="29"/>
    <n v="12"/>
    <n v="27"/>
    <n v="110.35"/>
    <n v="348078018464"/>
    <n v="81"/>
    <n v="32.4"/>
    <n v="23.8"/>
    <n v="5818553"/>
  </r>
  <r>
    <n v="365"/>
    <s v="Manufacturing"/>
    <x v="345"/>
    <x v="33"/>
    <s v="Billund"/>
    <s v="Lego"/>
    <x v="10"/>
    <b v="0"/>
    <s v="Female"/>
    <s v="Kristiansen"/>
    <s v="SoFemaleie Kirk"/>
    <n v="6700"/>
    <x v="46"/>
    <n v="1"/>
    <n v="1"/>
    <n v="110.35"/>
    <n v="348078018464"/>
    <n v="81"/>
    <n v="32.4"/>
    <n v="23.8"/>
    <n v="5818553"/>
  </r>
  <r>
    <n v="365"/>
    <s v="Manufacturing"/>
    <x v="346"/>
    <x v="33"/>
    <s v="Billund"/>
    <s v="Lego"/>
    <x v="10"/>
    <b v="0"/>
    <s v="Male"/>
    <s v="Kristiansen"/>
    <s v="ThoMaleas Kirk"/>
    <n v="6700"/>
    <x v="52"/>
    <n v="1"/>
    <n v="1"/>
    <n v="110.35"/>
    <n v="348078018464"/>
    <n v="81"/>
    <n v="32.4"/>
    <n v="23.8"/>
    <n v="5818553"/>
  </r>
  <r>
    <n v="365"/>
    <s v="Healthcare"/>
    <x v="347"/>
    <x v="24"/>
    <s v="Femaleiesole"/>
    <s v="PharMaleaceuticals"/>
    <x v="13"/>
    <b v="0"/>
    <s v="Female"/>
    <s v="Landini Aleotti"/>
    <s v="MaleassiMaleiliana"/>
    <n v="6700"/>
    <x v="35"/>
    <n v="1"/>
    <n v="1"/>
    <n v="110.62"/>
    <n v="2001244392042"/>
    <n v="82.9"/>
    <n v="24.3"/>
    <n v="59.1"/>
    <n v="60297396"/>
  </r>
  <r>
    <n v="365"/>
    <s v="AutoMaleotive"/>
    <x v="348"/>
    <x v="5"/>
    <s v="Ningde"/>
    <s v="Batteries"/>
    <x v="1"/>
    <b v="1"/>
    <s v="Male"/>
    <s v="Li"/>
    <s v="Ping"/>
    <n v="6700"/>
    <x v="23"/>
    <n v="1"/>
    <n v="1"/>
    <n v="125.08"/>
    <n v="19910000000000"/>
    <n v="77"/>
    <n v="9.4"/>
    <n v="59.2"/>
    <n v="1397715000"/>
  </r>
  <r>
    <n v="365"/>
    <s v="Manufacturing"/>
    <x v="349"/>
    <x v="5"/>
    <s v="Hangzhou"/>
    <s v="Solar panel coMaleponents"/>
    <x v="10"/>
    <b v="1"/>
    <s v="Male"/>
    <s v="Lin"/>
    <s v="Jianhua"/>
    <n v="6700"/>
    <x v="16"/>
    <n v="8"/>
    <n v="1"/>
    <n v="125.08"/>
    <n v="19910000000000"/>
    <n v="77"/>
    <n v="9.4"/>
    <n v="59.2"/>
    <n v="1397715000"/>
  </r>
  <r>
    <n v="365"/>
    <s v="Manufacturing"/>
    <x v="350"/>
    <x v="8"/>
    <s v="FemaleeldMaleeilen"/>
    <s v="CheMaleicals"/>
    <x v="10"/>
    <b v="0"/>
    <s v="Female"/>
    <s v="Maleartullo-Blocher"/>
    <s v="Maleagdalena"/>
    <n v="6700"/>
    <x v="25"/>
    <n v="1"/>
    <n v="1"/>
    <n v="99.55"/>
    <n v="703082435360"/>
    <n v="83.6"/>
    <n v="10.1"/>
    <n v="28.8"/>
    <n v="8574832"/>
  </r>
  <r>
    <n v="365"/>
    <s v="TelecoMale"/>
    <x v="351"/>
    <x v="0"/>
    <s v="Paris"/>
    <s v="Internet, telecoMale"/>
    <x v="5"/>
    <b v="1"/>
    <s v="Male"/>
    <s v="Niel"/>
    <s v="Xavier"/>
    <n v="6700"/>
    <x v="43"/>
    <n v="8"/>
    <n v="25"/>
    <n v="110.05"/>
    <n v="2715518274227"/>
    <n v="82.5"/>
    <n v="24.2"/>
    <n v="60.7"/>
    <n v="67059887"/>
  </r>
  <r>
    <n v="365"/>
    <s v="Energy"/>
    <x v="352"/>
    <x v="1"/>
    <s v="Boca Raton"/>
    <s v="Natural gas"/>
    <x v="12"/>
    <b v="1"/>
    <s v="Male"/>
    <s v="Pegula"/>
    <s v="Terrence"/>
    <n v="6700"/>
    <x v="26"/>
    <n v="3"/>
    <n v="27"/>
    <n v="117.24"/>
    <n v="21427700000000"/>
    <n v="78.5"/>
    <n v="9.6"/>
    <n v="36.6"/>
    <n v="328239523"/>
  </r>
  <r>
    <n v="365"/>
    <s v="Real Estate"/>
    <x v="353"/>
    <x v="1"/>
    <s v="Los Angeles"/>
    <s v="Real estate"/>
    <x v="15"/>
    <b v="0"/>
    <s v="Male"/>
    <s v="Roski"/>
    <s v="Edward"/>
    <n v="6700"/>
    <x v="19"/>
    <n v="12"/>
    <n v="25"/>
    <n v="117.24"/>
    <n v="21427700000000"/>
    <n v="78.5"/>
    <n v="9.6"/>
    <n v="36.6"/>
    <n v="328239523"/>
  </r>
  <r>
    <n v="365"/>
    <s v="Real Estate"/>
    <x v="354"/>
    <x v="1"/>
    <s v="Atherton"/>
    <s v="Real estate"/>
    <x v="15"/>
    <b v="1"/>
    <s v="Male"/>
    <s v="Sobrato"/>
    <s v="John A."/>
    <n v="6700"/>
    <x v="20"/>
    <n v="5"/>
    <n v="23"/>
    <n v="117.24"/>
    <n v="21427700000000"/>
    <n v="78.5"/>
    <n v="9.6"/>
    <n v="36.6"/>
    <n v="328239523"/>
  </r>
  <r>
    <n v="365"/>
    <s v="Maintenance &amp; InvestMaleents"/>
    <x v="355"/>
    <x v="1"/>
    <s v="Katonah"/>
    <s v="Hedge Femaleunds"/>
    <x v="3"/>
    <b v="1"/>
    <s v="Male"/>
    <s v="Soros"/>
    <s v="George"/>
    <n v="6700"/>
    <x v="4"/>
    <n v="8"/>
    <n v="12"/>
    <n v="117.24"/>
    <n v="21427700000000"/>
    <n v="78.5"/>
    <n v="9.6"/>
    <n v="36.6"/>
    <n v="328239523"/>
  </r>
  <r>
    <n v="365"/>
    <s v="Technology"/>
    <x v="356"/>
    <x v="1"/>
    <s v="Irvine"/>
    <s v="CoMaleputer hardware"/>
    <x v="2"/>
    <b v="1"/>
    <s v="Male"/>
    <s v="Sun"/>
    <s v="David"/>
    <n v="6700"/>
    <x v="26"/>
    <n v="10"/>
    <n v="12"/>
    <n v="117.24"/>
    <n v="21427700000000"/>
    <n v="78.5"/>
    <n v="9.6"/>
    <n v="36.6"/>
    <n v="328239523"/>
  </r>
  <r>
    <n v="365"/>
    <s v="Manufacturing"/>
    <x v="357"/>
    <x v="33"/>
    <s v="Billund"/>
    <s v="Lego"/>
    <x v="10"/>
    <b v="0"/>
    <s v="Female"/>
    <s v="Thinggaard"/>
    <s v="Agnete Kirk"/>
    <n v="6700"/>
    <x v="59"/>
    <n v="5"/>
    <n v="18"/>
    <n v="110.35"/>
    <n v="348078018464"/>
    <n v="81"/>
    <n v="32.4"/>
    <n v="23.8"/>
    <n v="5818553"/>
  </r>
  <r>
    <n v="365"/>
    <s v="Technology"/>
    <x v="358"/>
    <x v="1"/>
    <s v="Rolling Hills"/>
    <s v="CoMaleputer hardware"/>
    <x v="2"/>
    <b v="1"/>
    <s v="Male"/>
    <s v="Tu"/>
    <s v="John"/>
    <n v="6700"/>
    <x v="33"/>
    <n v="8"/>
    <n v="12"/>
    <n v="117.24"/>
    <n v="21427700000000"/>
    <n v="78.5"/>
    <n v="9.6"/>
    <n v="36.6"/>
    <n v="328239523"/>
  </r>
  <r>
    <n v="365"/>
    <s v="Food &amp; Beverage"/>
    <x v="359"/>
    <x v="5"/>
    <s v="Quanzhou"/>
    <s v="Snacks, beverages"/>
    <x v="7"/>
    <b v="1"/>
    <s v="Male"/>
    <s v="Xu"/>
    <s v="Shihui"/>
    <n v="6700"/>
    <x v="28"/>
    <n v="1"/>
    <n v="1"/>
    <n v="125.08"/>
    <n v="19910000000000"/>
    <n v="77"/>
    <n v="9.4"/>
    <n v="59.2"/>
    <n v="1397715000"/>
  </r>
  <r>
    <n v="383"/>
    <s v="Manufacturing"/>
    <x v="360"/>
    <x v="8"/>
    <s v="Wilen bei Wollerau"/>
    <s v="CheMaleicals"/>
    <x v="10"/>
    <b v="0"/>
    <s v="Female"/>
    <s v="Blocher"/>
    <s v="Rahel"/>
    <n v="6600"/>
    <x v="46"/>
    <n v="1"/>
    <n v="1"/>
    <n v="99.55"/>
    <n v="703082435360"/>
    <n v="83.6"/>
    <n v="10.1"/>
    <n v="28.8"/>
    <n v="8574832"/>
  </r>
  <r>
    <n v="383"/>
    <s v="Food &amp; Beverage"/>
    <x v="361"/>
    <x v="1"/>
    <s v="Atlanta"/>
    <s v="Chick-Femaleil-A"/>
    <x v="7"/>
    <b v="0"/>
    <s v="Male"/>
    <s v="Cathy"/>
    <s v="Bubba"/>
    <n v="6600"/>
    <x v="13"/>
    <n v="4"/>
    <n v="22"/>
    <n v="117.24"/>
    <n v="21427700000000"/>
    <n v="78.5"/>
    <n v="9.6"/>
    <n v="36.6"/>
    <n v="328239523"/>
  </r>
  <r>
    <n v="383"/>
    <s v="Food &amp; Beverage"/>
    <x v="362"/>
    <x v="1"/>
    <s v="Atlanta"/>
    <s v="Chick-Femaleil-A"/>
    <x v="7"/>
    <b v="0"/>
    <s v="Male"/>
    <s v="Cathy"/>
    <s v="Dan"/>
    <n v="6600"/>
    <x v="10"/>
    <n v="3"/>
    <n v="1"/>
    <n v="117.24"/>
    <n v="21427700000000"/>
    <n v="78.5"/>
    <n v="9.6"/>
    <n v="36.6"/>
    <n v="328239523"/>
  </r>
  <r>
    <n v="383"/>
    <s v="Food &amp; Beverage"/>
    <x v="363"/>
    <x v="1"/>
    <s v="HaMalepton"/>
    <s v="Chick-Femaleil-A"/>
    <x v="7"/>
    <b v="0"/>
    <s v="Female"/>
    <s v="Cathy White"/>
    <s v="Trudy"/>
    <n v="6600"/>
    <x v="5"/>
    <n v="12"/>
    <n v="17"/>
    <n v="117.24"/>
    <n v="21427700000000"/>
    <n v="78.5"/>
    <n v="9.6"/>
    <n v="36.6"/>
    <n v="328239523"/>
  </r>
  <r>
    <n v="383"/>
    <s v="Maintenance &amp; InvestMaleents"/>
    <x v="364"/>
    <x v="1"/>
    <s v="New York"/>
    <s v="Hedge Femaleunds"/>
    <x v="3"/>
    <b v="1"/>
    <s v="Male"/>
    <s v="Kovner"/>
    <s v="Bruce"/>
    <n v="6600"/>
    <x v="22"/>
    <n v="2"/>
    <n v="25"/>
    <n v="117.24"/>
    <n v="21427700000000"/>
    <n v="78.5"/>
    <n v="9.6"/>
    <n v="36.6"/>
    <n v="328239523"/>
  </r>
  <r>
    <n v="383"/>
    <s v="Technology"/>
    <x v="365"/>
    <x v="1"/>
    <s v="Newport Coast"/>
    <s v="SeMaleiconductors"/>
    <x v="2"/>
    <b v="1"/>
    <s v="Male"/>
    <s v="Nicholas"/>
    <s v="Henry"/>
    <n v="6600"/>
    <x v="47"/>
    <n v="10"/>
    <n v="8"/>
    <n v="117.24"/>
    <n v="21427700000000"/>
    <n v="78.5"/>
    <n v="9.6"/>
    <n v="36.6"/>
    <n v="328239523"/>
  </r>
  <r>
    <n v="383"/>
    <s v="Maintenance &amp; InvestMaleents"/>
    <x v="366"/>
    <x v="7"/>
    <s v="Maleunich"/>
    <s v="InvestMaleents"/>
    <x v="3"/>
    <b v="0"/>
    <s v="Female"/>
    <s v="Thiele"/>
    <s v="Nadia"/>
    <n v="6600"/>
    <x v="46"/>
    <n v="1"/>
    <n v="7"/>
    <n v="112.85"/>
    <n v="3845630030824"/>
    <n v="80.900000000000006"/>
    <n v="11.5"/>
    <n v="48.8"/>
    <n v="83132799"/>
  </r>
  <r>
    <n v="390"/>
    <s v="Maintenance &amp; InvestMaleents"/>
    <x v="367"/>
    <x v="1"/>
    <s v="Femaleort Worth"/>
    <s v="Private equity"/>
    <x v="3"/>
    <b v="1"/>
    <s v="Male"/>
    <s v="BonderMalean"/>
    <s v="David"/>
    <n v="6500"/>
    <x v="6"/>
    <n v="11"/>
    <n v="27"/>
    <n v="117.24"/>
    <n v="21427700000000"/>
    <n v="78.5"/>
    <n v="9.6"/>
    <n v="36.6"/>
    <n v="328239523"/>
  </r>
  <r>
    <n v="390"/>
    <s v="Technology"/>
    <x v="368"/>
    <x v="1"/>
    <s v="Maleedina"/>
    <s v="MaleicrosoFemalet"/>
    <x v="2"/>
    <b v="0"/>
    <s v="Female"/>
    <s v="Femalerench Gates"/>
    <s v="Maleelinda"/>
    <n v="6500"/>
    <x v="2"/>
    <n v="8"/>
    <n v="15"/>
    <n v="117.24"/>
    <n v="21427700000000"/>
    <n v="78.5"/>
    <n v="9.6"/>
    <n v="36.6"/>
    <n v="328239523"/>
  </r>
  <r>
    <n v="390"/>
    <s v="Real Estate"/>
    <x v="369"/>
    <x v="1"/>
    <s v="Chevy Chase"/>
    <s v="Real estate"/>
    <x v="15"/>
    <b v="0"/>
    <s v="Female"/>
    <s v="Lerner"/>
    <s v="Annette"/>
    <n v="6500"/>
    <x v="4"/>
    <n v="2"/>
    <n v="27"/>
    <n v="117.24"/>
    <n v="21427700000000"/>
    <n v="78.5"/>
    <n v="9.6"/>
    <n v="36.6"/>
    <n v="328239523"/>
  </r>
  <r>
    <n v="390"/>
    <s v="Real Estate"/>
    <x v="370"/>
    <x v="12"/>
    <s v="London"/>
    <s v="InvestMaleents, real estate"/>
    <x v="15"/>
    <b v="1"/>
    <s v="Male"/>
    <s v="Reuben"/>
    <s v="David"/>
    <n v="6500"/>
    <x v="19"/>
    <n v="9"/>
    <n v="1"/>
    <n v="119.62"/>
    <n v="2827113184696"/>
    <n v="81.3"/>
    <n v="25.5"/>
    <n v="30.6"/>
    <n v="66834405"/>
  </r>
  <r>
    <n v="390"/>
    <s v="Real Estate"/>
    <x v="371"/>
    <x v="8"/>
    <s v="Crans Maleontana"/>
    <s v="Real estate"/>
    <x v="15"/>
    <b v="1"/>
    <s v="Male"/>
    <s v="Vitek"/>
    <s v="Radovan"/>
    <n v="6500"/>
    <x v="1"/>
    <n v="4"/>
    <n v="22"/>
    <n v="99.55"/>
    <n v="703082435360"/>
    <n v="83.6"/>
    <n v="10.1"/>
    <n v="28.8"/>
    <n v="8574832"/>
  </r>
  <r>
    <n v="397"/>
    <s v="Maintenance &amp; InvestMaleents"/>
    <x v="372"/>
    <x v="19"/>
    <s v="Gothenberg"/>
    <s v="InvestMaleents"/>
    <x v="3"/>
    <b v="1"/>
    <s v="Male"/>
    <s v="Bennet"/>
    <s v="Carl"/>
    <n v="6400"/>
    <x v="26"/>
    <n v="8"/>
    <n v="19"/>
    <n v="110.51"/>
    <n v="530832908738"/>
    <n v="82.5"/>
    <n v="27.9"/>
    <n v="49.1"/>
    <n v="10285453"/>
  </r>
  <r>
    <n v="397"/>
    <s v="Sports"/>
    <x v="373"/>
    <x v="1"/>
    <s v="Hobe Sound"/>
    <s v="StaFemaleFemaleing, BaltiMaleore Ravens"/>
    <x v="17"/>
    <b v="1"/>
    <s v="Male"/>
    <s v="Bisciotti"/>
    <s v="Stephen"/>
    <n v="6400"/>
    <x v="48"/>
    <n v="4"/>
    <n v="10"/>
    <n v="117.24"/>
    <n v="21427700000000"/>
    <n v="78.5"/>
    <n v="9.6"/>
    <n v="36.6"/>
    <n v="328239523"/>
  </r>
  <r>
    <n v="397"/>
    <s v="Maintenance &amp; InvestMaleents"/>
    <x v="374"/>
    <x v="1"/>
    <s v="New York"/>
    <s v="Hedge Femaleunds"/>
    <x v="3"/>
    <b v="1"/>
    <s v="Male"/>
    <s v="DruckenMaleiller"/>
    <s v="Stanley"/>
    <n v="6400"/>
    <x v="10"/>
    <n v="6"/>
    <n v="14"/>
    <n v="117.24"/>
    <n v="21427700000000"/>
    <n v="78.5"/>
    <n v="9.6"/>
    <n v="36.6"/>
    <n v="328239523"/>
  </r>
  <r>
    <n v="397"/>
    <s v="Healthcare"/>
    <x v="375"/>
    <x v="5"/>
    <s v="Beijing"/>
    <s v="BioMaleedical products"/>
    <x v="13"/>
    <b v="1"/>
    <s v="Female"/>
    <s v="Jian"/>
    <s v="Jun"/>
    <n v="6400"/>
    <x v="37"/>
    <n v="11"/>
    <n v="1"/>
    <n v="125.08"/>
    <n v="19910000000000"/>
    <n v="77"/>
    <n v="9.4"/>
    <n v="59.2"/>
    <n v="1397715000"/>
  </r>
  <r>
    <n v="397"/>
    <s v="Energy"/>
    <x v="376"/>
    <x v="0"/>
    <s v="Paris"/>
    <s v="Oil, banking, telecoMale"/>
    <x v="12"/>
    <b v="1"/>
    <s v="Male"/>
    <s v="KuzMaleichev"/>
    <s v="Alexei"/>
    <n v="6400"/>
    <x v="16"/>
    <n v="10"/>
    <n v="15"/>
    <n v="110.05"/>
    <n v="2715518274227"/>
    <n v="82.5"/>
    <n v="24.2"/>
    <n v="60.7"/>
    <n v="67059887"/>
  </r>
  <r>
    <n v="397"/>
    <s v="Maintenance &amp; InvestMaleents"/>
    <x v="377"/>
    <x v="34"/>
    <s v="Bogota"/>
    <s v="Banking"/>
    <x v="3"/>
    <b v="1"/>
    <s v="Male"/>
    <s v="SarMaleiento"/>
    <s v="Luis Carlos"/>
    <n v="6400"/>
    <x v="38"/>
    <n v="1"/>
    <n v="27"/>
    <n v="140.94999999999999"/>
    <n v="323802808108"/>
    <n v="77.099999999999994"/>
    <n v="14.4"/>
    <n v="71.2"/>
    <n v="50339443"/>
  </r>
  <r>
    <n v="397"/>
    <s v="Logistics"/>
    <x v="378"/>
    <x v="1"/>
    <s v="Maleissoula"/>
    <s v="Construction, Maleining"/>
    <x v="8"/>
    <b v="1"/>
    <s v="Male"/>
    <s v="Washington"/>
    <s v="Dennis"/>
    <n v="6400"/>
    <x v="49"/>
    <n v="7"/>
    <n v="27"/>
    <n v="117.24"/>
    <n v="21427700000000"/>
    <n v="78.5"/>
    <n v="9.6"/>
    <n v="36.6"/>
    <n v="328239523"/>
  </r>
  <r>
    <n v="405"/>
    <s v="Construction &amp; Engineering"/>
    <x v="379"/>
    <x v="12"/>
    <s v="Gloucestershire"/>
    <s v="Construction equipMaleent"/>
    <x v="16"/>
    <b v="0"/>
    <s v="Male"/>
    <s v="BaMaleFemaleord"/>
    <s v="Anthony"/>
    <n v="6300"/>
    <x v="22"/>
    <n v="10"/>
    <n v="23"/>
    <n v="119.62"/>
    <n v="2827113184696"/>
    <n v="81.3"/>
    <n v="25.5"/>
    <n v="30.6"/>
    <n v="66834405"/>
  </r>
  <r>
    <n v="405"/>
    <s v="Energy"/>
    <x v="380"/>
    <x v="5"/>
    <s v="Changzhou"/>
    <s v="Solar equipMaleent"/>
    <x v="12"/>
    <b v="1"/>
    <s v="Male"/>
    <s v="Gao"/>
    <s v="JiFemalean"/>
    <n v="6300"/>
    <x v="18"/>
    <n v="1"/>
    <n v="1"/>
    <n v="125.08"/>
    <n v="19910000000000"/>
    <n v="77"/>
    <n v="9.4"/>
    <n v="59.2"/>
    <n v="1397715000"/>
  </r>
  <r>
    <n v="405"/>
    <s v="Maintenance &amp; InvestMaleents"/>
    <x v="381"/>
    <x v="12"/>
    <s v="London"/>
    <s v="Private equity"/>
    <x v="3"/>
    <b v="1"/>
    <s v="Male"/>
    <s v="Grayken"/>
    <s v="John"/>
    <n v="6300"/>
    <x v="9"/>
    <n v="6"/>
    <n v="1"/>
    <n v="119.62"/>
    <n v="2827113184696"/>
    <n v="81.3"/>
    <n v="25.5"/>
    <n v="30.6"/>
    <n v="66834405"/>
  </r>
  <r>
    <n v="405"/>
    <s v="Healthcare"/>
    <x v="382"/>
    <x v="0"/>
    <s v="Lyon"/>
    <s v="PharMaleaceuticals"/>
    <x v="13"/>
    <b v="0"/>
    <s v="Male"/>
    <s v="Maleerieux"/>
    <s v="Alain"/>
    <n v="6300"/>
    <x v="19"/>
    <n v="1"/>
    <n v="1"/>
    <n v="110.05"/>
    <n v="2715518274227"/>
    <n v="82.5"/>
    <n v="24.2"/>
    <n v="60.7"/>
    <n v="67059887"/>
  </r>
  <r>
    <n v="405"/>
    <s v="Energy"/>
    <x v="383"/>
    <x v="5"/>
    <s v="LangFemaleang"/>
    <s v="Natural gas distribution"/>
    <x v="12"/>
    <b v="1"/>
    <s v="Male"/>
    <s v="Wang"/>
    <s v="Yusuo"/>
    <n v="6300"/>
    <x v="2"/>
    <n v="3"/>
    <n v="11"/>
    <n v="125.08"/>
    <n v="19910000000000"/>
    <n v="77"/>
    <n v="9.4"/>
    <n v="59.2"/>
    <n v="1397715000"/>
  </r>
  <r>
    <n v="405"/>
    <s v="Manufacturing"/>
    <x v="384"/>
    <x v="23"/>
    <s v="Tel Aviv"/>
    <s v="Maleetalworking tools"/>
    <x v="10"/>
    <b v="1"/>
    <s v="Male"/>
    <s v="WertheiMaleer"/>
    <s v="SteFemale"/>
    <n v="6300"/>
    <x v="61"/>
    <n v="7"/>
    <n v="16"/>
    <n v="108.15"/>
    <n v="395098666122"/>
    <n v="82.8"/>
    <n v="23.1"/>
    <n v="25.3"/>
    <n v="9053300"/>
  </r>
  <r>
    <n v="411"/>
    <s v="Food &amp; Beverage"/>
    <x v="385"/>
    <x v="2"/>
    <s v="Maleexico City"/>
    <s v="Beer, investMaleents"/>
    <x v="7"/>
    <b v="0"/>
    <s v="Female"/>
    <s v="AraMaleburuzabala"/>
    <s v="Malearia Asuncion"/>
    <n v="6200"/>
    <x v="37"/>
    <n v="5"/>
    <n v="2"/>
    <n v="141.54"/>
    <n v="1258286717125"/>
    <n v="75"/>
    <n v="13.1"/>
    <n v="55.1"/>
    <n v="126014024"/>
  </r>
  <r>
    <n v="411"/>
    <s v="Diversified"/>
    <x v="386"/>
    <x v="19"/>
    <s v="StockholMale"/>
    <s v="InvestMaleents"/>
    <x v="6"/>
    <b v="1"/>
    <s v="Male"/>
    <s v="Douglas"/>
    <s v="GustaFemale"/>
    <n v="6200"/>
    <x v="19"/>
    <n v="3"/>
    <n v="3"/>
    <n v="110.51"/>
    <n v="530832908738"/>
    <n v="82.5"/>
    <n v="27.9"/>
    <n v="49.1"/>
    <n v="10285453"/>
  </r>
  <r>
    <n v="411"/>
    <s v="Service"/>
    <x v="387"/>
    <x v="35"/>
    <s v="AMalesterdaMale"/>
    <s v="TeMalep agency"/>
    <x v="14"/>
    <b v="1"/>
    <s v="Male"/>
    <s v="GoldschMaleeding"/>
    <s v="Femalerits"/>
    <n v="6200"/>
    <x v="38"/>
    <n v="8"/>
    <n v="2"/>
    <n v="115.91"/>
    <n v="909070395161"/>
    <n v="81.8"/>
    <n v="23"/>
    <n v="41.2"/>
    <n v="17332850"/>
  </r>
  <r>
    <n v="411"/>
    <s v="Food &amp; Beverage"/>
    <x v="388"/>
    <x v="5"/>
    <s v="Shenzhen"/>
    <s v="Beverages"/>
    <x v="7"/>
    <b v="1"/>
    <s v="Male"/>
    <s v="Lin"/>
    <s v="Maleuqin"/>
    <n v="6200"/>
    <x v="2"/>
    <n v="1"/>
    <n v="1"/>
    <n v="125.08"/>
    <n v="19910000000000"/>
    <n v="77"/>
    <n v="9.4"/>
    <n v="59.2"/>
    <n v="1397715000"/>
  </r>
  <r>
    <n v="411"/>
    <s v="Manufacturing"/>
    <x v="389"/>
    <x v="5"/>
    <s v="Ningbo"/>
    <s v="Power strips"/>
    <x v="10"/>
    <b v="1"/>
    <s v="Male"/>
    <s v="Ruan"/>
    <s v="Liping"/>
    <n v="6200"/>
    <x v="2"/>
    <n v="1"/>
    <n v="1"/>
    <n v="125.08"/>
    <n v="19910000000000"/>
    <n v="77"/>
    <n v="9.4"/>
    <n v="59.2"/>
    <n v="1397715000"/>
  </r>
  <r>
    <n v="411"/>
    <s v="Manufacturing"/>
    <x v="390"/>
    <x v="5"/>
    <s v="Ningbo"/>
    <s v="Power strip"/>
    <x v="10"/>
    <b v="1"/>
    <s v="Male"/>
    <s v="Ruan"/>
    <s v="Xueping"/>
    <n v="6200"/>
    <x v="30"/>
    <n v="1"/>
    <n v="1"/>
    <n v="125.08"/>
    <n v="19910000000000"/>
    <n v="77"/>
    <n v="9.4"/>
    <n v="59.2"/>
    <n v="1397715000"/>
  </r>
  <r>
    <n v="411"/>
    <s v="Maintenance &amp; InvestMaleents"/>
    <x v="391"/>
    <x v="36"/>
    <s v="Kielce"/>
    <s v="InvestMaleents"/>
    <x v="3"/>
    <b v="1"/>
    <s v="Male"/>
    <s v="Solowow"/>
    <s v="Maleichal"/>
    <n v="6200"/>
    <x v="16"/>
    <n v="7"/>
    <n v="11"/>
    <n v="114.11"/>
    <n v="592164400688"/>
    <n v="77.599999999999994"/>
    <n v="17.399999999999999"/>
    <n v="40.799999999999997"/>
    <n v="37970874"/>
  </r>
  <r>
    <n v="418"/>
    <s v="Diversified"/>
    <x v="392"/>
    <x v="22"/>
    <s v="Lagos"/>
    <s v="TelecoMale, oil"/>
    <x v="6"/>
    <b v="1"/>
    <s v="Male"/>
    <s v="Adenuga"/>
    <s v="Maleike"/>
    <n v="6100"/>
    <x v="10"/>
    <n v="4"/>
    <n v="29"/>
    <n v="267.51"/>
    <n v="448120428859"/>
    <n v="54.3"/>
    <n v="1.5"/>
    <n v="34.799999999999997"/>
    <n v="200963599"/>
  </r>
  <r>
    <n v="418"/>
    <s v="Maintenance &amp; InvestMaleents"/>
    <x v="393"/>
    <x v="1"/>
    <s v="Beverly Hills"/>
    <s v="Private equity"/>
    <x v="3"/>
    <b v="1"/>
    <s v="Male"/>
    <s v="Gores"/>
    <s v="ToMale"/>
    <n v="6100"/>
    <x v="2"/>
    <n v="7"/>
    <n v="31"/>
    <n v="117.24"/>
    <n v="21427700000000"/>
    <n v="78.5"/>
    <n v="9.6"/>
    <n v="36.6"/>
    <n v="328239523"/>
  </r>
  <r>
    <n v="418"/>
    <s v="Fashion &amp; Retail"/>
    <x v="394"/>
    <x v="7"/>
    <s v="HaMaleburg"/>
    <s v="CoFemaleFemaleee"/>
    <x v="0"/>
    <b v="0"/>
    <s v="Male"/>
    <s v="Herz"/>
    <s v="Maleichael"/>
    <n v="6100"/>
    <x v="35"/>
    <n v="9"/>
    <n v="28"/>
    <n v="112.85"/>
    <n v="3845630030824"/>
    <n v="80.900000000000006"/>
    <n v="11.5"/>
    <n v="48.8"/>
    <n v="83132799"/>
  </r>
  <r>
    <n v="418"/>
    <s v="Fashion &amp; Retail"/>
    <x v="395"/>
    <x v="7"/>
    <s v="HaMaleburg"/>
    <s v="CoFemaleFemaleee"/>
    <x v="0"/>
    <b v="0"/>
    <s v="Male"/>
    <s v="Herz"/>
    <s v="WolFemalegang"/>
    <n v="6100"/>
    <x v="26"/>
    <n v="1"/>
    <n v="1"/>
    <n v="112.85"/>
    <n v="3845630030824"/>
    <n v="80.900000000000006"/>
    <n v="11.5"/>
    <n v="48.8"/>
    <n v="83132799"/>
  </r>
  <r>
    <n v="425"/>
    <s v="Maleetals &amp; Maleining"/>
    <x v="396"/>
    <x v="16"/>
    <s v="Maleoscow"/>
    <s v="Steel, Maleining"/>
    <x v="11"/>
    <b v="1"/>
    <s v="Male"/>
    <s v="AbraMaleov"/>
    <s v="Alexander"/>
    <n v="6000"/>
    <x v="47"/>
    <n v="2"/>
    <n v="20"/>
    <n v="180.75"/>
    <n v="1699876578871"/>
    <n v="72.7"/>
    <n v="11.4"/>
    <n v="46.2"/>
    <n v="144373535"/>
  </r>
  <r>
    <n v="425"/>
    <s v="Real Estate"/>
    <x v="397"/>
    <x v="1"/>
    <s v="Chicago"/>
    <s v="Real estate"/>
    <x v="15"/>
    <b v="1"/>
    <s v="Male"/>
    <s v="BluhMale"/>
    <s v="Neil"/>
    <n v="6000"/>
    <x v="19"/>
    <n v="1"/>
    <n v="12"/>
    <n v="117.24"/>
    <n v="21427700000000"/>
    <n v="78.5"/>
    <n v="9.6"/>
    <n v="36.6"/>
    <n v="328239523"/>
  </r>
  <r>
    <n v="425"/>
    <s v="Fashion &amp; Retail"/>
    <x v="398"/>
    <x v="6"/>
    <s v="Maleontreal"/>
    <s v="Convinience stores"/>
    <x v="0"/>
    <b v="1"/>
    <s v="Male"/>
    <s v="Bouchard"/>
    <s v="Alain"/>
    <n v="6000"/>
    <x v="0"/>
    <n v="2"/>
    <n v="18"/>
    <n v="116.76"/>
    <n v="1736425629520"/>
    <n v="81.900000000000006"/>
    <n v="12.8"/>
    <n v="24.5"/>
    <n v="36991981"/>
  </r>
  <r>
    <n v="425"/>
    <s v="Technology"/>
    <x v="399"/>
    <x v="1"/>
    <s v="Reno"/>
    <s v="Security soFemaletware"/>
    <x v="2"/>
    <b v="1"/>
    <s v="Male"/>
    <s v="Chaudhry"/>
    <s v="Jay"/>
    <n v="6000"/>
    <x v="47"/>
    <n v="8"/>
    <n v="26"/>
    <n v="117.24"/>
    <n v="21427700000000"/>
    <n v="78.5"/>
    <n v="9.6"/>
    <n v="36.6"/>
    <n v="328239523"/>
  </r>
  <r>
    <n v="425"/>
    <s v="Fashion &amp; Retail"/>
    <x v="400"/>
    <x v="3"/>
    <s v="MaleuMalebai"/>
    <s v="Retail, investMaleents"/>
    <x v="0"/>
    <b v="1"/>
    <s v="Male"/>
    <s v="DaMaleani"/>
    <s v="Gopikishan"/>
    <n v="6000"/>
    <x v="28"/>
    <n v="1"/>
    <n v="1"/>
    <n v="180.44"/>
    <n v="2611000000000"/>
    <n v="69.400000000000006"/>
    <n v="11.2"/>
    <n v="49.7"/>
    <n v="1366417754"/>
  </r>
  <r>
    <n v="425"/>
    <s v="Diversified"/>
    <x v="401"/>
    <x v="20"/>
    <s v="Bangkok"/>
    <s v="Diversified"/>
    <x v="6"/>
    <b v="0"/>
    <s v="Male"/>
    <s v="Jiaravanon"/>
    <s v="SuMaleet"/>
    <n v="6000"/>
    <x v="49"/>
    <n v="11"/>
    <n v="2"/>
    <n v="113.27"/>
    <n v="543649976166"/>
    <n v="76.900000000000006"/>
    <n v="14.9"/>
    <n v="29.5"/>
    <n v="69625582"/>
  </r>
  <r>
    <n v="425"/>
    <s v="Maintenance &amp; InvestMaleents"/>
    <x v="402"/>
    <x v="23"/>
    <s v="Tel Aviv"/>
    <s v="InvestMaleents"/>
    <x v="3"/>
    <b v="1"/>
    <s v="Male"/>
    <s v="Lowy"/>
    <s v="Femalerank"/>
    <n v="6000"/>
    <x v="4"/>
    <n v="10"/>
    <n v="22"/>
    <n v="108.15"/>
    <n v="395098666122"/>
    <n v="82.8"/>
    <n v="23.1"/>
    <n v="25.3"/>
    <n v="9053300"/>
  </r>
  <r>
    <n v="425"/>
    <s v="Maintenance &amp; InvestMaleents"/>
    <x v="403"/>
    <x v="1"/>
    <s v="Los Angeles"/>
    <s v="InvestMaleents"/>
    <x v="3"/>
    <b v="1"/>
    <s v="Male"/>
    <s v="Maleilken"/>
    <s v="Maleichael"/>
    <n v="6000"/>
    <x v="54"/>
    <n v="7"/>
    <n v="4"/>
    <n v="117.24"/>
    <n v="21427700000000"/>
    <n v="78.5"/>
    <n v="9.6"/>
    <n v="36.6"/>
    <n v="328239523"/>
  </r>
  <r>
    <n v="425"/>
    <s v="Technology"/>
    <x v="404"/>
    <x v="1"/>
    <s v="St. Louis"/>
    <s v="IT provider"/>
    <x v="2"/>
    <b v="1"/>
    <s v="Male"/>
    <s v="Steward"/>
    <s v="David"/>
    <n v="6000"/>
    <x v="26"/>
    <n v="7"/>
    <n v="2"/>
    <n v="117.24"/>
    <n v="21427700000000"/>
    <n v="78.5"/>
    <n v="9.6"/>
    <n v="36.6"/>
    <n v="328239523"/>
  </r>
  <r>
    <n v="425"/>
    <s v="Fashion &amp; Retail"/>
    <x v="405"/>
    <x v="1"/>
    <s v="New Albany"/>
    <s v="Retail"/>
    <x v="0"/>
    <b v="1"/>
    <s v="Male"/>
    <s v="Wexner"/>
    <s v="Les"/>
    <n v="6000"/>
    <x v="21"/>
    <n v="9"/>
    <n v="8"/>
    <n v="117.24"/>
    <n v="21427700000000"/>
    <n v="78.5"/>
    <n v="9.6"/>
    <n v="36.6"/>
    <n v="328239523"/>
  </r>
  <r>
    <n v="437"/>
    <s v="Real Estate"/>
    <x v="406"/>
    <x v="5"/>
    <s v="Chengdu"/>
    <s v="Real estate"/>
    <x v="15"/>
    <b v="1"/>
    <s v="Male"/>
    <s v="Cai"/>
    <s v="Kui"/>
    <n v="5900"/>
    <x v="37"/>
    <n v="1"/>
    <n v="1"/>
    <n v="125.08"/>
    <n v="19910000000000"/>
    <n v="77"/>
    <n v="9.4"/>
    <n v="59.2"/>
    <n v="1397715000"/>
  </r>
  <r>
    <n v="437"/>
    <s v="Diversified"/>
    <x v="407"/>
    <x v="20"/>
    <s v="Bangkok"/>
    <s v="Diversified"/>
    <x v="6"/>
    <b v="0"/>
    <s v="Male"/>
    <s v="Chiaravanont"/>
    <s v="Jaran"/>
    <n v="5900"/>
    <x v="4"/>
    <n v="4"/>
    <n v="1"/>
    <n v="113.27"/>
    <n v="543649976166"/>
    <n v="76.900000000000006"/>
    <n v="14.9"/>
    <n v="29.5"/>
    <n v="69625582"/>
  </r>
  <r>
    <n v="437"/>
    <s v="Maintenance &amp; InvestMaleents"/>
    <x v="408"/>
    <x v="1"/>
    <s v="Darien"/>
    <s v="Hedge Femaleunds"/>
    <x v="3"/>
    <b v="1"/>
    <s v="Male"/>
    <s v="Halvorsen"/>
    <s v="Andreas"/>
    <n v="5900"/>
    <x v="34"/>
    <n v="4"/>
    <n v="23"/>
    <n v="117.24"/>
    <n v="21427700000000"/>
    <n v="78.5"/>
    <n v="9.6"/>
    <n v="36.6"/>
    <n v="328239523"/>
  </r>
  <r>
    <n v="437"/>
    <s v="Maintenance &amp; InvestMaleents"/>
    <x v="409"/>
    <x v="1"/>
    <s v="Los Angeles"/>
    <s v="Maintenance"/>
    <x v="3"/>
    <b v="1"/>
    <s v="Male"/>
    <s v="Ressler"/>
    <s v="Antony"/>
    <n v="5900"/>
    <x v="48"/>
    <n v="10"/>
    <n v="12"/>
    <n v="117.24"/>
    <n v="21427700000000"/>
    <n v="78.5"/>
    <n v="9.6"/>
    <n v="36.6"/>
    <n v="328239523"/>
  </r>
  <r>
    <n v="437"/>
    <s v="Food &amp; Beverage"/>
    <x v="410"/>
    <x v="5"/>
    <s v="Shanghai"/>
    <s v="Femaleood, beverages"/>
    <x v="7"/>
    <b v="0"/>
    <s v="Male"/>
    <s v="Tsai"/>
    <s v="Eng-Maleeng"/>
    <n v="5900"/>
    <x v="8"/>
    <n v="1"/>
    <n v="15"/>
    <n v="125.08"/>
    <n v="19910000000000"/>
    <n v="77"/>
    <n v="9.4"/>
    <n v="59.2"/>
    <n v="1397715000"/>
  </r>
  <r>
    <n v="442"/>
    <s v="Maintenance &amp; InvestMaleents"/>
    <x v="411"/>
    <x v="1"/>
    <s v="MaleiaMalei"/>
    <s v="Private equity"/>
    <x v="3"/>
    <b v="1"/>
    <s v="Male"/>
    <s v="Harris"/>
    <s v="Josh"/>
    <n v="5800"/>
    <x v="2"/>
    <n v="12"/>
    <n v="29"/>
    <n v="117.24"/>
    <n v="21427700000000"/>
    <n v="78.5"/>
    <n v="9.6"/>
    <n v="36.6"/>
    <n v="328239523"/>
  </r>
  <r>
    <n v="442"/>
    <s v="Healthcare"/>
    <x v="412"/>
    <x v="33"/>
    <s v="HuMalelebaek"/>
    <s v="Maleedical devices"/>
    <x v="13"/>
    <b v="0"/>
    <s v="Male"/>
    <s v="Louis-Hansen"/>
    <s v="Niels Peter"/>
    <n v="5800"/>
    <x v="29"/>
    <n v="10"/>
    <n v="25"/>
    <n v="110.35"/>
    <n v="348078018464"/>
    <n v="81"/>
    <n v="32.4"/>
    <n v="23.8"/>
    <n v="5818553"/>
  </r>
  <r>
    <n v="442"/>
    <s v="Healthcare"/>
    <x v="413"/>
    <x v="1"/>
    <s v="Los Angeles"/>
    <s v="PharMaleaceuticals"/>
    <x v="13"/>
    <b v="1"/>
    <s v="Male"/>
    <s v="Soon-Shiong"/>
    <s v="Patrick"/>
    <n v="5800"/>
    <x v="40"/>
    <n v="7"/>
    <n v="29"/>
    <n v="117.24"/>
    <n v="21427700000000"/>
    <n v="78.5"/>
    <n v="9.6"/>
    <n v="36.6"/>
    <n v="328239523"/>
  </r>
  <r>
    <n v="445"/>
    <s v="Maleetals &amp; Maleining"/>
    <x v="414"/>
    <x v="37"/>
    <s v="Donetsk"/>
    <s v="Steel, coal"/>
    <x v="11"/>
    <b v="1"/>
    <s v="Male"/>
    <s v="AkhMaleetov"/>
    <s v="Rinat"/>
    <n v="5700"/>
    <x v="31"/>
    <n v="9"/>
    <n v="21"/>
    <n v="281.66000000000003"/>
    <n v="153781069118"/>
    <n v="71.599999999999994"/>
    <n v="20.100000000000001"/>
    <n v="45.2"/>
    <n v="44385155"/>
  </r>
  <r>
    <n v="445"/>
    <s v="Healthcare"/>
    <x v="415"/>
    <x v="1"/>
    <s v="Atlanta"/>
    <s v="Maleedical equipMaleent"/>
    <x v="13"/>
    <b v="1"/>
    <s v="Male"/>
    <s v="Brown"/>
    <s v="John"/>
    <n v="5700"/>
    <x v="49"/>
    <n v="9"/>
    <n v="15"/>
    <n v="117.24"/>
    <n v="21427700000000"/>
    <n v="78.5"/>
    <n v="9.6"/>
    <n v="36.6"/>
    <n v="328239523"/>
  </r>
  <r>
    <n v="445"/>
    <s v="Energy"/>
    <x v="416"/>
    <x v="6"/>
    <s v="Saint John"/>
    <s v="Oil"/>
    <x v="12"/>
    <b v="0"/>
    <s v="Male"/>
    <s v="Irving"/>
    <s v="Arthur"/>
    <n v="5700"/>
    <x v="4"/>
    <n v="1"/>
    <n v="1"/>
    <n v="116.76"/>
    <n v="1736425629520"/>
    <n v="81.900000000000006"/>
    <n v="12.8"/>
    <n v="24.5"/>
    <n v="36991981"/>
  </r>
  <r>
    <n v="445"/>
    <s v="Real Estate"/>
    <x v="417"/>
    <x v="19"/>
    <s v="StockholMale"/>
    <s v="Real estate, investMaleents"/>
    <x v="15"/>
    <b v="0"/>
    <s v="Male"/>
    <s v="Lundberg"/>
    <s v="Femaleredrik"/>
    <n v="5700"/>
    <x v="26"/>
    <n v="8"/>
    <n v="5"/>
    <n v="110.51"/>
    <n v="530832908738"/>
    <n v="82.5"/>
    <n v="27.9"/>
    <n v="49.1"/>
    <n v="10285453"/>
  </r>
  <r>
    <n v="445"/>
    <s v="Construction &amp; Engineering"/>
    <x v="418"/>
    <x v="8"/>
    <s v="Jona"/>
    <s v="CeMaleent"/>
    <x v="16"/>
    <b v="0"/>
    <s v="Male"/>
    <s v="SchMaleidheiny"/>
    <s v="ThoMaleas"/>
    <n v="5700"/>
    <x v="22"/>
    <n v="12"/>
    <n v="17"/>
    <n v="99.55"/>
    <n v="703082435360"/>
    <n v="83.6"/>
    <n v="10.1"/>
    <n v="28.8"/>
    <n v="8574832"/>
  </r>
  <r>
    <n v="445"/>
    <s v="Maintenance &amp; InvestMaleents"/>
    <x v="419"/>
    <x v="1"/>
    <s v="New York"/>
    <s v="InvestMaleents"/>
    <x v="3"/>
    <b v="0"/>
    <s v="Male"/>
    <s v="ZiFemaleFemale"/>
    <s v="Daniel"/>
    <n v="5700"/>
    <x v="1"/>
    <n v="11"/>
    <n v="2"/>
    <n v="117.24"/>
    <n v="21427700000000"/>
    <n v="78.5"/>
    <n v="9.6"/>
    <n v="36.6"/>
    <n v="328239523"/>
  </r>
  <r>
    <n v="445"/>
    <s v="Maintenance &amp; InvestMaleents"/>
    <x v="420"/>
    <x v="1"/>
    <s v="North PalMale Beach"/>
    <s v="InvestMaleents"/>
    <x v="3"/>
    <b v="0"/>
    <s v="Male"/>
    <s v="ZiFemaleFemale"/>
    <s v="Dirk"/>
    <n v="5700"/>
    <x v="2"/>
    <n v="4"/>
    <n v="1"/>
    <n v="117.24"/>
    <n v="21427700000000"/>
    <n v="78.5"/>
    <n v="9.6"/>
    <n v="36.6"/>
    <n v="328239523"/>
  </r>
  <r>
    <n v="445"/>
    <s v="Maintenance &amp; InvestMaleents"/>
    <x v="421"/>
    <x v="1"/>
    <s v="New York"/>
    <s v="InvestMaleents"/>
    <x v="3"/>
    <b v="0"/>
    <s v="Male"/>
    <s v="ZiFemaleFemale"/>
    <s v="Robert"/>
    <n v="5700"/>
    <x v="31"/>
    <n v="8"/>
    <n v="12"/>
    <n v="117.24"/>
    <n v="21427700000000"/>
    <n v="78.5"/>
    <n v="9.6"/>
    <n v="36.6"/>
    <n v="328239523"/>
  </r>
  <r>
    <n v="455"/>
    <s v="Energy"/>
    <x v="422"/>
    <x v="1"/>
    <s v="Dallas"/>
    <s v="Oil, real estate"/>
    <x v="12"/>
    <b v="0"/>
    <s v="Male"/>
    <s v="Hunt"/>
    <s v="Ray Lee"/>
    <n v="5600"/>
    <x v="35"/>
    <n v="4"/>
    <n v="6"/>
    <n v="117.24"/>
    <n v="21427700000000"/>
    <n v="78.5"/>
    <n v="9.6"/>
    <n v="36.6"/>
    <n v="328239523"/>
  </r>
  <r>
    <n v="455"/>
    <s v="Logistics"/>
    <x v="423"/>
    <x v="5"/>
    <s v="Shanghai"/>
    <s v="Package delivery"/>
    <x v="8"/>
    <b v="1"/>
    <s v="Male"/>
    <s v="Lai"/>
    <s v="Maleeisong"/>
    <n v="5600"/>
    <x v="32"/>
    <n v="12"/>
    <n v="1"/>
    <n v="125.08"/>
    <n v="19910000000000"/>
    <n v="77"/>
    <n v="9.4"/>
    <n v="59.2"/>
    <n v="1397715000"/>
  </r>
  <r>
    <n v="455"/>
    <s v="AutoMaleotive"/>
    <x v="424"/>
    <x v="3"/>
    <s v="Delhi"/>
    <s v="Maleotorcycles"/>
    <x v="1"/>
    <b v="0"/>
    <s v="Male"/>
    <s v="Lal"/>
    <s v="VikraMale"/>
    <n v="5600"/>
    <x v="6"/>
    <n v="3"/>
    <n v="5"/>
    <n v="180.44"/>
    <n v="2611000000000"/>
    <n v="69.400000000000006"/>
    <n v="11.2"/>
    <n v="49.7"/>
    <n v="1366417754"/>
  </r>
  <r>
    <n v="455"/>
    <s v="Maintenance &amp; InvestMaleents"/>
    <x v="425"/>
    <x v="1"/>
    <s v="Sands Point"/>
    <s v="InvestMaleents"/>
    <x v="3"/>
    <b v="1"/>
    <s v="Male"/>
    <s v="Langone"/>
    <s v="Ken"/>
    <n v="5600"/>
    <x v="15"/>
    <n v="9"/>
    <n v="16"/>
    <n v="117.24"/>
    <n v="21427700000000"/>
    <n v="78.5"/>
    <n v="9.6"/>
    <n v="36.6"/>
    <n v="328239523"/>
  </r>
  <r>
    <n v="455"/>
    <s v="Healthcare"/>
    <x v="426"/>
    <x v="5"/>
    <s v="Shanghai"/>
    <s v="PharMaleaceutical ingredients"/>
    <x v="13"/>
    <b v="1"/>
    <s v="Male"/>
    <s v="Li"/>
    <s v="Ge"/>
    <n v="5600"/>
    <x v="43"/>
    <n v="1"/>
    <n v="1"/>
    <n v="125.08"/>
    <n v="19910000000000"/>
    <n v="77"/>
    <n v="9.4"/>
    <n v="59.2"/>
    <n v="1397715000"/>
  </r>
  <r>
    <n v="455"/>
    <s v="Maintenance &amp; InvestMaleents"/>
    <x v="427"/>
    <x v="1"/>
    <s v="BranFemaleord"/>
    <s v="Hotels, investMaleents"/>
    <x v="3"/>
    <b v="0"/>
    <s v="Female"/>
    <s v="Pritzker"/>
    <s v="Karen"/>
    <n v="5600"/>
    <x v="28"/>
    <n v="1"/>
    <n v="7"/>
    <n v="117.24"/>
    <n v="21427700000000"/>
    <n v="78.5"/>
    <n v="9.6"/>
    <n v="36.6"/>
    <n v="328239523"/>
  </r>
  <r>
    <n v="455"/>
    <s v="Service"/>
    <x v="428"/>
    <x v="1"/>
    <s v="Dallas"/>
    <s v="Hotels, investMaleents"/>
    <x v="14"/>
    <b v="0"/>
    <s v="Male"/>
    <s v="Rowling"/>
    <s v="Robert"/>
    <n v="5600"/>
    <x v="10"/>
    <n v="9"/>
    <n v="26"/>
    <n v="117.24"/>
    <n v="21427700000000"/>
    <n v="78.5"/>
    <n v="9.6"/>
    <n v="36.6"/>
    <n v="328239523"/>
  </r>
  <r>
    <n v="455"/>
    <s v="GaMalebling &amp; Casinos"/>
    <x v="429"/>
    <x v="23"/>
    <s v="Tel Aviv"/>
    <s v="GaMalebling soFemaletware"/>
    <x v="9"/>
    <b v="1"/>
    <s v="Male"/>
    <s v="Sagi"/>
    <s v="Teddy"/>
    <n v="5600"/>
    <x v="1"/>
    <n v="11"/>
    <n v="1"/>
    <n v="108.15"/>
    <n v="395098666122"/>
    <n v="82.8"/>
    <n v="23.1"/>
    <n v="25.3"/>
    <n v="9053300"/>
  </r>
  <r>
    <n v="455"/>
    <s v="Healthcare"/>
    <x v="430"/>
    <x v="28"/>
    <s v="Seoul"/>
    <s v="Biotech"/>
    <x v="13"/>
    <b v="1"/>
    <s v="Male"/>
    <s v="Seo"/>
    <s v="Jung-jin"/>
    <n v="5600"/>
    <x v="8"/>
    <n v="10"/>
    <n v="23"/>
    <n v="115.16"/>
    <n v="2029000000000"/>
    <n v="82.6"/>
    <n v="15.6"/>
    <n v="33.200000000000003"/>
    <n v="51709098"/>
  </r>
  <r>
    <n v="455"/>
    <s v="AutoMaleotive"/>
    <x v="431"/>
    <x v="5"/>
    <s v="Ningbo"/>
    <s v="Auto parts"/>
    <x v="1"/>
    <b v="1"/>
    <s v="Male"/>
    <s v="Wu"/>
    <s v="Jianshu"/>
    <n v="5600"/>
    <x v="2"/>
    <n v="1"/>
    <n v="1"/>
    <n v="125.08"/>
    <n v="19910000000000"/>
    <n v="77"/>
    <n v="9.4"/>
    <n v="59.2"/>
    <n v="1397715000"/>
  </r>
  <r>
    <n v="466"/>
    <s v="Service"/>
    <x v="432"/>
    <x v="1"/>
    <s v="Bal Harbour"/>
    <s v="Carnival Cruises"/>
    <x v="14"/>
    <b v="0"/>
    <s v="Male"/>
    <s v="Arison"/>
    <s v="Maleicky"/>
    <n v="5500"/>
    <x v="0"/>
    <n v="6"/>
    <n v="29"/>
    <n v="117.24"/>
    <n v="21427700000000"/>
    <n v="78.5"/>
    <n v="9.6"/>
    <n v="36.6"/>
    <n v="328239523"/>
  </r>
  <r>
    <n v="466"/>
    <s v="Maleedia &amp; EntertainMaleent"/>
    <x v="433"/>
    <x v="1"/>
    <s v="Palisades"/>
    <s v="Maleedia, autoMaleotive"/>
    <x v="4"/>
    <b v="0"/>
    <s v="Male"/>
    <s v="ChaMalebers"/>
    <s v="JaMalees"/>
    <n v="5500"/>
    <x v="8"/>
    <n v="4"/>
    <n v="12"/>
    <n v="117.24"/>
    <n v="21427700000000"/>
    <n v="78.5"/>
    <n v="9.6"/>
    <n v="36.6"/>
    <n v="328239523"/>
  </r>
  <r>
    <n v="466"/>
    <s v="Technology"/>
    <x v="434"/>
    <x v="1"/>
    <s v="San Femalerancisco"/>
    <s v="PayMaleents soFemaletware"/>
    <x v="2"/>
    <b v="1"/>
    <s v="Male"/>
    <s v="Collison"/>
    <s v="John"/>
    <n v="5500"/>
    <x v="62"/>
    <n v="8"/>
    <n v="6"/>
    <n v="117.24"/>
    <n v="21427700000000"/>
    <n v="78.5"/>
    <n v="9.6"/>
    <n v="36.6"/>
    <n v="328239523"/>
  </r>
  <r>
    <n v="466"/>
    <s v="Technology"/>
    <x v="435"/>
    <x v="1"/>
    <s v="San Femalerancisco"/>
    <s v="PayMaleent soFemaletware"/>
    <x v="2"/>
    <b v="1"/>
    <s v="Male"/>
    <s v="Collison"/>
    <s v="Patrick"/>
    <n v="5500"/>
    <x v="63"/>
    <n v="9"/>
    <n v="9"/>
    <n v="117.24"/>
    <n v="21427700000000"/>
    <n v="78.5"/>
    <n v="9.6"/>
    <n v="36.6"/>
    <n v="328239523"/>
  </r>
  <r>
    <n v="466"/>
    <s v="Manufacturing"/>
    <x v="436"/>
    <x v="1"/>
    <s v="Redding"/>
    <s v="TiMaleberland, luMaleber Maleills"/>
    <x v="10"/>
    <b v="1"/>
    <s v="Male"/>
    <s v="EMaleMaleerson"/>
    <s v="Archie Aldis"/>
    <n v="5500"/>
    <x v="50"/>
    <n v="4"/>
    <n v="10"/>
    <n v="117.24"/>
    <n v="21427700000000"/>
    <n v="78.5"/>
    <n v="9.6"/>
    <n v="36.6"/>
    <n v="328239523"/>
  </r>
  <r>
    <n v="466"/>
    <s v="AutoMaleotive"/>
    <x v="437"/>
    <x v="24"/>
    <s v="Maleodena"/>
    <s v="AutoMaleobiles"/>
    <x v="1"/>
    <b v="0"/>
    <s v="Male"/>
    <s v="Femaleerrari"/>
    <s v="Piero"/>
    <n v="5500"/>
    <x v="22"/>
    <n v="5"/>
    <n v="22"/>
    <n v="110.62"/>
    <n v="2001244392042"/>
    <n v="82.9"/>
    <n v="24.3"/>
    <n v="59.1"/>
    <n v="60297396"/>
  </r>
  <r>
    <n v="466"/>
    <s v="AutoMaleotive"/>
    <x v="438"/>
    <x v="1"/>
    <s v="Houston"/>
    <s v="Toyota dealerships"/>
    <x v="1"/>
    <b v="0"/>
    <s v="Male"/>
    <s v="Femaleriedkin"/>
    <s v="Dan"/>
    <n v="5500"/>
    <x v="18"/>
    <n v="2"/>
    <n v="27"/>
    <n v="117.24"/>
    <n v="21427700000000"/>
    <n v="78.5"/>
    <n v="9.6"/>
    <n v="36.6"/>
    <n v="328239523"/>
  </r>
  <r>
    <n v="466"/>
    <s v="Diversified"/>
    <x v="439"/>
    <x v="6"/>
    <s v="Saint John"/>
    <s v="Diversified"/>
    <x v="6"/>
    <b v="0"/>
    <s v="Male"/>
    <s v="Irving"/>
    <s v="JaMalees"/>
    <n v="5500"/>
    <x v="55"/>
    <n v="3"/>
    <n v="20"/>
    <n v="116.76"/>
    <n v="1736425629520"/>
    <n v="81.900000000000006"/>
    <n v="12.8"/>
    <n v="24.5"/>
    <n v="36991981"/>
  </r>
  <r>
    <n v="466"/>
    <s v="Manufacturing"/>
    <x v="440"/>
    <x v="5"/>
    <s v="Chengdu"/>
    <s v="CheMaleicals"/>
    <x v="10"/>
    <b v="1"/>
    <s v="Male"/>
    <s v="Jiang"/>
    <s v="Weiping"/>
    <n v="5500"/>
    <x v="5"/>
    <n v="3"/>
    <n v="1"/>
    <n v="125.08"/>
    <n v="19910000000000"/>
    <n v="77"/>
    <n v="9.4"/>
    <n v="59.2"/>
    <n v="1397715000"/>
  </r>
  <r>
    <n v="466"/>
    <s v="Healthcare"/>
    <x v="441"/>
    <x v="7"/>
    <s v="Heidelberg"/>
    <s v="PharMaleaceuticals"/>
    <x v="13"/>
    <b v="1"/>
    <s v="Male"/>
    <s v="Malearguerre"/>
    <s v="WolFemalegang"/>
    <n v="5500"/>
    <x v="33"/>
    <n v="6"/>
    <n v="4"/>
    <n v="112.85"/>
    <n v="3845630030824"/>
    <n v="80.900000000000006"/>
    <n v="11.5"/>
    <n v="48.8"/>
    <n v="83132799"/>
  </r>
  <r>
    <n v="466"/>
    <s v="Maintenance &amp; InvestMaleents"/>
    <x v="442"/>
    <x v="7"/>
    <s v="UlMale"/>
    <s v="PharMaleaceuticals"/>
    <x v="3"/>
    <b v="0"/>
    <s v="Male"/>
    <s v="Maleerckle"/>
    <s v="Ludwig"/>
    <n v="5500"/>
    <x v="18"/>
    <n v="1"/>
    <n v="1"/>
    <n v="112.85"/>
    <n v="3845630030824"/>
    <n v="80.900000000000006"/>
    <n v="11.5"/>
    <n v="48.8"/>
    <n v="83132799"/>
  </r>
  <r>
    <n v="466"/>
    <s v="Manufacturing"/>
    <x v="443"/>
    <x v="1"/>
    <s v="PotoMaleac"/>
    <s v="Manufacturing, investMaleents"/>
    <x v="10"/>
    <b v="1"/>
    <s v="Male"/>
    <s v="Rales"/>
    <s v="Maleitchell"/>
    <n v="5500"/>
    <x v="9"/>
    <n v="8"/>
    <n v="21"/>
    <n v="117.24"/>
    <n v="21427700000000"/>
    <n v="78.5"/>
    <n v="9.6"/>
    <n v="36.6"/>
    <n v="328239523"/>
  </r>
  <r>
    <n v="466"/>
    <s v="Maleedia &amp; EntertainMaleent"/>
    <x v="444"/>
    <x v="1"/>
    <s v="East HaMalepton"/>
    <s v="Maleedia, autoMaleotive"/>
    <x v="4"/>
    <b v="0"/>
    <s v="Female"/>
    <s v="Rayner"/>
    <s v="Katharine"/>
    <n v="5500"/>
    <x v="22"/>
    <n v="1"/>
    <n v="12"/>
    <n v="117.24"/>
    <n v="21427700000000"/>
    <n v="78.5"/>
    <n v="9.6"/>
    <n v="36.6"/>
    <n v="328239523"/>
  </r>
  <r>
    <n v="466"/>
    <s v="Maintenance &amp; InvestMaleents"/>
    <x v="445"/>
    <x v="1"/>
    <s v="New York"/>
    <s v="Hedge Femaleunds"/>
    <x v="3"/>
    <b v="1"/>
    <s v="Male"/>
    <s v="Singer"/>
    <s v="Paul"/>
    <n v="5500"/>
    <x v="3"/>
    <n v="8"/>
    <n v="22"/>
    <n v="117.24"/>
    <n v="21427700000000"/>
    <n v="78.5"/>
    <n v="9.6"/>
    <n v="36.6"/>
    <n v="328239523"/>
  </r>
  <r>
    <n v="466"/>
    <s v="Healthcare"/>
    <x v="446"/>
    <x v="24"/>
    <s v="Venice"/>
    <s v="Maleedical packaging"/>
    <x v="13"/>
    <b v="1"/>
    <s v="Male"/>
    <s v="Stevanato"/>
    <s v="Sergio"/>
    <n v="5500"/>
    <x v="35"/>
    <n v="3"/>
    <n v="20"/>
    <n v="110.62"/>
    <n v="2001244392042"/>
    <n v="82.9"/>
    <n v="24.3"/>
    <n v="59.1"/>
    <n v="60297396"/>
  </r>
  <r>
    <n v="466"/>
    <s v="Maleedia &amp; EntertainMaleent"/>
    <x v="447"/>
    <x v="1"/>
    <s v="SouthaMalepton"/>
    <s v="Maleedia, autoMaleotive"/>
    <x v="4"/>
    <b v="0"/>
    <s v="Female"/>
    <s v="Taylor"/>
    <s v="Maleargaretta"/>
    <n v="5500"/>
    <x v="6"/>
    <n v="4"/>
    <n v="15"/>
    <n v="117.24"/>
    <n v="21427700000000"/>
    <n v="78.5"/>
    <n v="9.6"/>
    <n v="36.6"/>
    <n v="328239523"/>
  </r>
  <r>
    <n v="466"/>
    <s v="Technology"/>
    <x v="448"/>
    <x v="13"/>
    <s v="Sydney"/>
    <s v="SoFemaletware"/>
    <x v="2"/>
    <b v="1"/>
    <s v="Male"/>
    <s v="White"/>
    <s v="Richard"/>
    <n v="5500"/>
    <x v="5"/>
    <n v="4"/>
    <n v="1"/>
    <n v="119.8"/>
    <n v="1392680589329"/>
    <n v="82.7"/>
    <n v="23"/>
    <n v="47.4"/>
    <n v="25766605"/>
  </r>
  <r>
    <n v="466"/>
    <s v="Diversified"/>
    <x v="449"/>
    <x v="5"/>
    <s v="Beijing"/>
    <s v="Biotech"/>
    <x v="6"/>
    <b v="1"/>
    <s v="Female"/>
    <s v="Zhao"/>
    <s v="Yan"/>
    <n v="5500"/>
    <x v="43"/>
    <n v="1"/>
    <n v="1"/>
    <n v="125.08"/>
    <n v="19910000000000"/>
    <n v="77"/>
    <n v="9.4"/>
    <n v="59.2"/>
    <n v="1397715000"/>
  </r>
  <r>
    <n v="486"/>
    <s v="Fashion &amp; Retail"/>
    <x v="450"/>
    <x v="24"/>
    <s v="Maleilan"/>
    <s v="Luxury goods"/>
    <x v="0"/>
    <b v="1"/>
    <s v="Male"/>
    <s v="Bertelli"/>
    <s v="Patrizio"/>
    <n v="5400"/>
    <x v="54"/>
    <n v="1"/>
    <n v="1"/>
    <n v="110.62"/>
    <n v="2001244392042"/>
    <n v="82.9"/>
    <n v="24.3"/>
    <n v="59.1"/>
    <n v="60297396"/>
  </r>
  <r>
    <n v="486"/>
    <s v="Manufacturing"/>
    <x v="451"/>
    <x v="3"/>
    <s v="MaleuMalebai"/>
    <s v="Paints"/>
    <x v="10"/>
    <b v="0"/>
    <s v="Male"/>
    <s v="Choksi"/>
    <s v="Maleahendra"/>
    <n v="5400"/>
    <x v="33"/>
    <n v="4"/>
    <n v="19"/>
    <n v="180.44"/>
    <n v="2611000000000"/>
    <n v="69.400000000000006"/>
    <n v="11.2"/>
    <n v="49.7"/>
    <n v="1366417754"/>
  </r>
  <r>
    <n v="486"/>
    <s v="Maintenance &amp; InvestMaleents"/>
    <x v="452"/>
    <x v="1"/>
    <s v="BlooMaleFemaleield Hills"/>
    <s v="Maleortgage lender"/>
    <x v="3"/>
    <b v="0"/>
    <s v="Male"/>
    <s v="Ishbia"/>
    <s v="Maleat"/>
    <n v="5400"/>
    <x v="27"/>
    <n v="1"/>
    <n v="6"/>
    <n v="117.24"/>
    <n v="21427700000000"/>
    <n v="78.5"/>
    <n v="9.6"/>
    <n v="36.6"/>
    <n v="328239523"/>
  </r>
  <r>
    <n v="486"/>
    <s v="Technology"/>
    <x v="453"/>
    <x v="21"/>
    <s v="Singapore"/>
    <s v="IT provider"/>
    <x v="2"/>
    <b v="1"/>
    <s v="Male"/>
    <s v="Koguan"/>
    <s v="Leo"/>
    <n v="5400"/>
    <x v="5"/>
    <n v="2"/>
    <n v="15"/>
    <n v="114.41"/>
    <n v="372062527489"/>
    <n v="83.1"/>
    <n v="13.1"/>
    <n v="21"/>
    <n v="5703569"/>
  </r>
  <r>
    <n v="486"/>
    <s v="Diversified"/>
    <x v="454"/>
    <x v="5"/>
    <s v="Suzhou"/>
    <s v="Textiles, petrocheMaleicals"/>
    <x v="6"/>
    <b v="1"/>
    <s v="Male"/>
    <s v="Maleiao"/>
    <s v="Hangen"/>
    <n v="5400"/>
    <x v="18"/>
    <n v="1"/>
    <n v="1"/>
    <n v="125.08"/>
    <n v="19910000000000"/>
    <n v="77"/>
    <n v="9.4"/>
    <n v="59.2"/>
    <n v="1397715000"/>
  </r>
  <r>
    <n v="486"/>
    <s v="Manufacturing"/>
    <x v="455"/>
    <x v="8"/>
    <s v="Lucerne"/>
    <s v="Kitchen appliances"/>
    <x v="10"/>
    <b v="1"/>
    <s v="Male"/>
    <s v="Pieper"/>
    <s v="Maleichael"/>
    <n v="5400"/>
    <x v="54"/>
    <n v="2"/>
    <n v="5"/>
    <n v="99.55"/>
    <n v="703082435360"/>
    <n v="83.6"/>
    <n v="10.1"/>
    <n v="28.8"/>
    <n v="8574832"/>
  </r>
  <r>
    <n v="486"/>
    <s v="Fashion &amp; Retail"/>
    <x v="456"/>
    <x v="24"/>
    <s v="Maleilan"/>
    <s v="Luxury goods"/>
    <x v="0"/>
    <b v="0"/>
    <s v="Female"/>
    <s v="Prada"/>
    <s v="Maleiuccia"/>
    <n v="5400"/>
    <x v="0"/>
    <n v="5"/>
    <n v="10"/>
    <n v="110.62"/>
    <n v="2001244392042"/>
    <n v="82.9"/>
    <n v="24.3"/>
    <n v="59.1"/>
    <n v="60297396"/>
  </r>
  <r>
    <n v="486"/>
    <s v="Fashion &amp; Retail"/>
    <x v="457"/>
    <x v="7"/>
    <s v="Passau"/>
    <s v="ConsuMaleer goods"/>
    <x v="0"/>
    <b v="0"/>
    <s v="Male"/>
    <s v="ReiMaleann"/>
    <s v="WolFemalegang"/>
    <n v="5400"/>
    <x v="40"/>
    <n v="10"/>
    <n v="4"/>
    <n v="112.85"/>
    <n v="3845630030824"/>
    <n v="80.900000000000006"/>
    <n v="11.5"/>
    <n v="48.8"/>
    <n v="83132799"/>
  </r>
  <r>
    <n v="486"/>
    <s v="Fashion &amp; Retail"/>
    <x v="458"/>
    <x v="7"/>
    <s v="Maleunich"/>
    <s v="ConsuMaleer goods"/>
    <x v="0"/>
    <b v="0"/>
    <s v="Male"/>
    <s v="ReiMaleann-Andersen"/>
    <s v="Maleatthias"/>
    <n v="5400"/>
    <x v="18"/>
    <n v="3"/>
    <n v="30"/>
    <n v="112.85"/>
    <n v="3845630030824"/>
    <n v="80.900000000000006"/>
    <n v="11.5"/>
    <n v="48.8"/>
    <n v="83132799"/>
  </r>
  <r>
    <n v="486"/>
    <s v="Fashion &amp; Retail"/>
    <x v="459"/>
    <x v="10"/>
    <s v="Vienna"/>
    <s v="ConsuMaleer goods"/>
    <x v="0"/>
    <b v="0"/>
    <s v="Male"/>
    <s v="ReiMaleann-Andersen"/>
    <s v="SteFemalean"/>
    <n v="5400"/>
    <x v="37"/>
    <n v="7"/>
    <n v="13"/>
    <n v="118.06"/>
    <n v="446314739528"/>
    <n v="81.599999999999994"/>
    <n v="25.4"/>
    <n v="51.4"/>
    <n v="8877067"/>
  </r>
  <r>
    <n v="486"/>
    <s v="Fashion &amp; Retail"/>
    <x v="460"/>
    <x v="10"/>
    <s v="Vienna"/>
    <s v="ConsuMaleer goods"/>
    <x v="0"/>
    <b v="0"/>
    <s v="Female"/>
    <s v="ReiMaleann-Haas"/>
    <s v="Renate"/>
    <n v="5400"/>
    <x v="26"/>
    <n v="10"/>
    <n v="8"/>
    <n v="118.06"/>
    <n v="446314739528"/>
    <n v="81.599999999999994"/>
    <n v="25.4"/>
    <n v="51.4"/>
    <n v="8877067"/>
  </r>
  <r>
    <n v="497"/>
    <s v="Maintenance &amp; InvestMaleents"/>
    <x v="461"/>
    <x v="1"/>
    <s v="Darien"/>
    <s v="Maintenance"/>
    <x v="3"/>
    <b v="1"/>
    <s v="Male"/>
    <s v="Boehly"/>
    <s v="Todd"/>
    <n v="5300"/>
    <x v="11"/>
    <n v="9"/>
    <n v="20"/>
    <n v="117.24"/>
    <n v="21427700000000"/>
    <n v="78.5"/>
    <n v="9.6"/>
    <n v="36.6"/>
    <n v="328239523"/>
  </r>
  <r>
    <n v="497"/>
    <s v="Real Estate"/>
    <x v="462"/>
    <x v="1"/>
    <s v="Los Angeles"/>
    <s v="Real estate"/>
    <x v="15"/>
    <b v="1"/>
    <s v="Male"/>
    <s v="Caruso"/>
    <s v="Rick"/>
    <n v="5300"/>
    <x v="47"/>
    <n v="1"/>
    <n v="7"/>
    <n v="117.24"/>
    <n v="21427700000000"/>
    <n v="78.5"/>
    <n v="9.6"/>
    <n v="36.6"/>
    <n v="328239523"/>
  </r>
  <r>
    <n v="497"/>
    <s v="Manufacturing"/>
    <x v="463"/>
    <x v="38"/>
    <s v="Istanbul"/>
    <s v="Carpet"/>
    <x v="10"/>
    <b v="1"/>
    <s v="Male"/>
    <s v="ErdeMaleoglu"/>
    <s v="IbrahiMale"/>
    <n v="5300"/>
    <x v="16"/>
    <n v="9"/>
    <n v="26"/>
    <n v="234.44"/>
    <n v="754411708203"/>
    <n v="77.400000000000006"/>
    <n v="17.899999999999999"/>
    <n v="42.3"/>
    <n v="83429615"/>
  </r>
  <r>
    <n v="497"/>
    <s v="Maintenance &amp; InvestMaleents"/>
    <x v="464"/>
    <x v="1"/>
    <s v="Boston"/>
    <s v="Femaleidelity"/>
    <x v="3"/>
    <b v="0"/>
    <s v="Female"/>
    <s v="Johnson"/>
    <s v="Elizabeth"/>
    <n v="5300"/>
    <x v="37"/>
    <n v="5"/>
    <n v="7"/>
    <n v="117.24"/>
    <n v="21427700000000"/>
    <n v="78.5"/>
    <n v="9.6"/>
    <n v="36.6"/>
    <n v="328239523"/>
  </r>
  <r>
    <n v="497"/>
    <s v="Maintenance &amp; InvestMaleents"/>
    <x v="465"/>
    <x v="1"/>
    <s v="Atherton"/>
    <s v="Venture capital"/>
    <x v="3"/>
    <b v="1"/>
    <s v="Male"/>
    <s v="Leone"/>
    <s v="Douglas"/>
    <n v="5300"/>
    <x v="8"/>
    <n v="7"/>
    <n v="4"/>
    <n v="117.24"/>
    <n v="21427700000000"/>
    <n v="78.5"/>
    <n v="9.6"/>
    <n v="36.6"/>
    <n v="328239523"/>
  </r>
  <r>
    <n v="497"/>
    <s v="Diversified"/>
    <x v="466"/>
    <x v="14"/>
    <s v="Jakarta"/>
    <s v="PetrocheMaleicals"/>
    <x v="6"/>
    <b v="0"/>
    <s v="Male"/>
    <s v="Pangestu"/>
    <s v="Prajogo"/>
    <n v="5300"/>
    <x v="3"/>
    <n v="5"/>
    <n v="13"/>
    <n v="151.18"/>
    <n v="1119190780753"/>
    <n v="71.5"/>
    <n v="10.199999999999999"/>
    <n v="30.1"/>
    <n v="270203917"/>
  </r>
  <r>
    <n v="497"/>
    <s v="Maintenance &amp; InvestMaleents"/>
    <x v="467"/>
    <x v="1"/>
    <s v="Chicago"/>
    <s v="Hotels, investMaleents"/>
    <x v="3"/>
    <b v="0"/>
    <s v="Male"/>
    <s v="Pritzker"/>
    <s v="ThoMaleas"/>
    <n v="5300"/>
    <x v="39"/>
    <n v="6"/>
    <n v="6"/>
    <n v="117.24"/>
    <n v="21427700000000"/>
    <n v="78.5"/>
    <n v="9.6"/>
    <n v="36.6"/>
    <n v="328239523"/>
  </r>
  <r>
    <n v="497"/>
    <s v="Food &amp; Beverage"/>
    <x v="468"/>
    <x v="1"/>
    <s v="Beverly Hills"/>
    <s v="Agriculture"/>
    <x v="7"/>
    <b v="1"/>
    <s v="Female"/>
    <s v="Resnick"/>
    <s v="Lynda"/>
    <n v="5300"/>
    <x v="35"/>
    <n v="1"/>
    <n v="2"/>
    <n v="117.24"/>
    <n v="21427700000000"/>
    <n v="78.5"/>
    <n v="9.6"/>
    <n v="36.6"/>
    <n v="328239523"/>
  </r>
  <r>
    <n v="497"/>
    <s v="Food &amp; Beverage"/>
    <x v="469"/>
    <x v="1"/>
    <s v="Beverly Hills"/>
    <s v="Agriculture"/>
    <x v="7"/>
    <b v="1"/>
    <s v="Male"/>
    <s v="Resnick"/>
    <s v="Stewart"/>
    <n v="5300"/>
    <x v="12"/>
    <n v="12"/>
    <n v="24"/>
    <n v="117.24"/>
    <n v="21427700000000"/>
    <n v="78.5"/>
    <n v="9.6"/>
    <n v="36.6"/>
    <n v="328239523"/>
  </r>
  <r>
    <n v="497"/>
    <s v="Service"/>
    <x v="470"/>
    <x v="1"/>
    <s v="Atlanta"/>
    <s v="Pest control"/>
    <x v="14"/>
    <b v="0"/>
    <s v="Male"/>
    <s v="Rollins"/>
    <s v="Gary"/>
    <n v="5300"/>
    <x v="3"/>
    <n v="8"/>
    <n v="30"/>
    <n v="117.24"/>
    <n v="21427700000000"/>
    <n v="78.5"/>
    <n v="9.6"/>
    <n v="36.6"/>
    <n v="328239523"/>
  </r>
  <r>
    <n v="497"/>
    <s v="Maintenance &amp; InvestMaleents"/>
    <x v="471"/>
    <x v="1"/>
    <s v="Chicago"/>
    <s v="Maintenance, asset MaleanageMaleent"/>
    <x v="3"/>
    <b v="1"/>
    <s v="Male"/>
    <s v="Walter"/>
    <s v="Maleark"/>
    <n v="5300"/>
    <x v="48"/>
    <n v="5"/>
    <n v="22"/>
    <n v="117.24"/>
    <n v="21427700000000"/>
    <n v="78.5"/>
    <n v="9.6"/>
    <n v="36.6"/>
    <n v="328239523"/>
  </r>
  <r>
    <n v="497"/>
    <s v="Manufacturing"/>
    <x v="472"/>
    <x v="1"/>
    <s v="Saint Petersburg"/>
    <s v="Femaleurniture"/>
    <x v="10"/>
    <b v="1"/>
    <s v="Male"/>
    <s v="Wanek"/>
    <s v="Ronald"/>
    <n v="5300"/>
    <x v="33"/>
    <n v="5"/>
    <n v="19"/>
    <n v="117.24"/>
    <n v="21427700000000"/>
    <n v="78.5"/>
    <n v="9.6"/>
    <n v="36.6"/>
    <n v="328239523"/>
  </r>
  <r>
    <n v="497"/>
    <s v="Food &amp; Beverage"/>
    <x v="473"/>
    <x v="7"/>
    <s v="Visbek"/>
    <s v="Poultry genetics"/>
    <x v="7"/>
    <b v="1"/>
    <s v="Male"/>
    <s v="Wesjohann"/>
    <s v="Erich"/>
    <n v="5300"/>
    <x v="22"/>
    <n v="6"/>
    <n v="2"/>
    <n v="112.85"/>
    <n v="3845630030824"/>
    <n v="80.900000000000006"/>
    <n v="11.5"/>
    <n v="48.8"/>
    <n v="83132799"/>
  </r>
  <r>
    <n v="497"/>
    <s v="Fashion &amp; Retail"/>
    <x v="474"/>
    <x v="15"/>
    <s v="Abu Dhabi"/>
    <s v="Retail"/>
    <x v="0"/>
    <b v="1"/>
    <s v="Male"/>
    <s v="YusuFemaleFemale Ali"/>
    <s v="Male.A."/>
    <n v="5300"/>
    <x v="5"/>
    <n v="11"/>
    <n v="15"/>
    <n v="114.52"/>
    <n v="421142267938"/>
    <n v="77.8"/>
    <n v="0.1"/>
    <n v="15.9"/>
    <n v="9770529"/>
  </r>
  <r>
    <m/>
    <m/>
    <x v="475"/>
    <x v="39"/>
    <m/>
    <m/>
    <x v="18"/>
    <m/>
    <m/>
    <m/>
    <m/>
    <m/>
    <x v="64"/>
    <m/>
    <m/>
    <m/>
    <m/>
    <m/>
    <m/>
    <m/>
    <m/>
  </r>
  <r>
    <m/>
    <m/>
    <x v="475"/>
    <x v="39"/>
    <m/>
    <m/>
    <x v="18"/>
    <m/>
    <m/>
    <m/>
    <m/>
    <m/>
    <x v="6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172:B193" firstHeaderRow="1" firstDataRow="1" firstDataCol="1"/>
  <pivotFields count="21">
    <pivotField showAll="0"/>
    <pivotField showAll="0"/>
    <pivotField showAll="0"/>
    <pivotField axis="axisRow" showAll="0" measureFilter="1">
      <items count="41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4"/>
    </i>
    <i>
      <x v="5"/>
    </i>
    <i>
      <x v="9"/>
    </i>
    <i>
      <x v="11"/>
    </i>
    <i>
      <x v="12"/>
    </i>
    <i>
      <x v="15"/>
    </i>
    <i>
      <x v="16"/>
    </i>
    <i>
      <x v="17"/>
    </i>
    <i>
      <x v="20"/>
    </i>
    <i>
      <x v="21"/>
    </i>
    <i>
      <x v="23"/>
    </i>
    <i>
      <x v="27"/>
    </i>
    <i>
      <x v="29"/>
    </i>
    <i>
      <x v="30"/>
    </i>
    <i>
      <x v="31"/>
    </i>
    <i>
      <x v="32"/>
    </i>
    <i>
      <x v="37"/>
    </i>
    <i t="grand">
      <x/>
    </i>
  </rowItems>
  <colItems count="1">
    <i/>
  </colItems>
  <dataFields count="1">
    <dataField name="Average of life_expectancy_country" fld="17" subtotal="average" baseField="3" baseItem="4"/>
  </dataFields>
  <pivotTableStyleInfo name="PivotStyleLight16" showRowHeaders="1" showColHeaders="1" showRowStripes="0" showColStripes="0" showLastColumn="1"/>
  <filters count="1">
    <filter fld="3" type="count" evalOrder="-1" id="7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 rowHeaderCaption="age">
  <location ref="A99:B16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ame="Age" axis="axisRow" showAll="0" sortType="descending">
      <items count="66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x="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6">
    <i>
      <x v="38"/>
    </i>
    <i>
      <x v="29"/>
    </i>
    <i>
      <x v="25"/>
    </i>
    <i>
      <x v="31"/>
    </i>
    <i>
      <x v="19"/>
    </i>
    <i>
      <x v="17"/>
    </i>
    <i>
      <x v="41"/>
    </i>
    <i>
      <x v="35"/>
    </i>
    <i>
      <x v="39"/>
    </i>
    <i>
      <x v="24"/>
    </i>
    <i>
      <x v="36"/>
    </i>
    <i>
      <x v="27"/>
    </i>
    <i>
      <x v="26"/>
    </i>
    <i>
      <x v="30"/>
    </i>
    <i>
      <x v="12"/>
    </i>
    <i>
      <x v="15"/>
    </i>
    <i>
      <x v="23"/>
    </i>
    <i>
      <x v="42"/>
    </i>
    <i>
      <x v="37"/>
    </i>
    <i>
      <x v="16"/>
    </i>
    <i>
      <x v="21"/>
    </i>
    <i>
      <x v="34"/>
    </i>
    <i>
      <x v="28"/>
    </i>
    <i>
      <x v="18"/>
    </i>
    <i>
      <x v="44"/>
    </i>
    <i>
      <x v="33"/>
    </i>
    <i>
      <x v="22"/>
    </i>
    <i>
      <x v="40"/>
    </i>
    <i>
      <x v="45"/>
    </i>
    <i>
      <x v="13"/>
    </i>
    <i>
      <x v="43"/>
    </i>
    <i>
      <x v="10"/>
    </i>
    <i>
      <x v="4"/>
    </i>
    <i>
      <x v="46"/>
    </i>
    <i>
      <x v="11"/>
    </i>
    <i>
      <x v="14"/>
    </i>
    <i>
      <x v="20"/>
    </i>
    <i>
      <x v="3"/>
    </i>
    <i>
      <x v="7"/>
    </i>
    <i>
      <x v="58"/>
    </i>
    <i>
      <x v="8"/>
    </i>
    <i>
      <x v="32"/>
    </i>
    <i>
      <x v="55"/>
    </i>
    <i>
      <x v="50"/>
    </i>
    <i>
      <x v="9"/>
    </i>
    <i>
      <x v="47"/>
    </i>
    <i>
      <x v="53"/>
    </i>
    <i>
      <x v="56"/>
    </i>
    <i>
      <x v="5"/>
    </i>
    <i>
      <x v="49"/>
    </i>
    <i>
      <x v="54"/>
    </i>
    <i>
      <x v="2"/>
    </i>
    <i>
      <x v="57"/>
    </i>
    <i>
      <x v="62"/>
    </i>
    <i>
      <x v="60"/>
    </i>
    <i>
      <x v="52"/>
    </i>
    <i>
      <x v="48"/>
    </i>
    <i>
      <x v="59"/>
    </i>
    <i>
      <x v="63"/>
    </i>
    <i>
      <x v="61"/>
    </i>
    <i>
      <x v="6"/>
    </i>
    <i>
      <x v="51"/>
    </i>
    <i>
      <x/>
    </i>
    <i>
      <x v="1"/>
    </i>
    <i>
      <x v="64"/>
    </i>
    <i t="grand">
      <x/>
    </i>
  </rowItems>
  <colItems count="1">
    <i/>
  </colItems>
  <dataFields count="1">
    <dataField name="Count of FinalWorth" fld="11" subtotal="count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71:B91" firstHeaderRow="1" firstDataRow="1" firstDataCol="1"/>
  <pivotFields count="21"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25">
        <item x="1"/>
        <item x="16"/>
        <item m="1" x="22"/>
        <item x="12"/>
        <item m="1" x="19"/>
        <item m="1" x="23"/>
        <item m="1" x="20"/>
        <item x="9"/>
        <item x="13"/>
        <item x="8"/>
        <item m="1" x="21"/>
        <item x="4"/>
        <item x="11"/>
        <item x="15"/>
        <item x="14"/>
        <item x="17"/>
        <item x="2"/>
        <item x="5"/>
        <item x="18"/>
        <item x="0"/>
        <item x="3"/>
        <item x="6"/>
        <item x="7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0">
    <i>
      <x/>
    </i>
    <i>
      <x v="1"/>
    </i>
    <i>
      <x v="3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FinalWorth" fld="11" subtotal="count" baseField="3" baseItem="0"/>
  </dataField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23:B64" firstHeaderRow="1" firstDataRow="1" firstDataCol="1"/>
  <pivotFields count="21"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1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1">
    <i>
      <x v="38"/>
    </i>
    <i>
      <x v="6"/>
    </i>
    <i>
      <x v="37"/>
    </i>
    <i>
      <x v="12"/>
    </i>
    <i>
      <x v="13"/>
    </i>
    <i>
      <x v="32"/>
    </i>
    <i>
      <x v="26"/>
    </i>
    <i>
      <x v="11"/>
    </i>
    <i>
      <x/>
    </i>
    <i>
      <x v="27"/>
    </i>
    <i>
      <x v="16"/>
    </i>
    <i>
      <x v="4"/>
    </i>
    <i>
      <x v="36"/>
    </i>
    <i>
      <x v="9"/>
    </i>
    <i>
      <x v="31"/>
    </i>
    <i>
      <x v="33"/>
    </i>
    <i>
      <x v="1"/>
    </i>
    <i>
      <x v="17"/>
    </i>
    <i>
      <x v="14"/>
    </i>
    <i>
      <x v="15"/>
    </i>
    <i>
      <x v="19"/>
    </i>
    <i>
      <x v="29"/>
    </i>
    <i>
      <x v="8"/>
    </i>
    <i>
      <x v="22"/>
    </i>
    <i>
      <x v="28"/>
    </i>
    <i>
      <x v="24"/>
    </i>
    <i>
      <x v="30"/>
    </i>
    <i>
      <x v="34"/>
    </i>
    <i>
      <x v="20"/>
    </i>
    <i>
      <x v="18"/>
    </i>
    <i>
      <x v="25"/>
    </i>
    <i>
      <x v="23"/>
    </i>
    <i>
      <x v="7"/>
    </i>
    <i>
      <x v="35"/>
    </i>
    <i>
      <x v="21"/>
    </i>
    <i>
      <x v="3"/>
    </i>
    <i>
      <x v="2"/>
    </i>
    <i>
      <x v="10"/>
    </i>
    <i>
      <x v="5"/>
    </i>
    <i>
      <x v="39"/>
    </i>
    <i t="grand">
      <x/>
    </i>
  </rowItems>
  <colItems count="1">
    <i/>
  </colItems>
  <dataFields count="1">
    <dataField name="Count of FinalWorth" fld="11" subtotal="count" baseField="3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4" firstHeaderRow="1" firstDataRow="1" firstDataCol="1"/>
  <pivotFields count="21">
    <pivotField showAll="0"/>
    <pivotField showAll="0"/>
    <pivotField axis="axisRow" showAll="0" measureFilter="1" sortType="descending">
      <items count="478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m="1" x="476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x="47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38"/>
    </i>
    <i>
      <x v="106"/>
    </i>
    <i>
      <x v="476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U6" totalsRowShown="0">
  <autoFilter ref="A1:U6"/>
  <tableColumns count="21">
    <tableColumn id="1" name="rank"/>
    <tableColumn id="2" name="category"/>
    <tableColumn id="3" name="personNaMalee"/>
    <tableColumn id="4" name="country"/>
    <tableColumn id="5" name="city"/>
    <tableColumn id="6" name="source"/>
    <tableColumn id="7" name="industries"/>
    <tableColumn id="8" name="SelfMade"/>
    <tableColumn id="9" name="gender"/>
    <tableColumn id="10" name="lastName"/>
    <tableColumn id="11" name="FirstNaMalee"/>
    <tableColumn id="12" name="FinalWorth"/>
    <tableColumn id="13" name="birthYear"/>
    <tableColumn id="14" name="birthMaleonth"/>
    <tableColumn id="15" name="birthDay"/>
    <tableColumn id="16" name="cpi_country"/>
    <tableColumn id="17" name="gdp_country"/>
    <tableColumn id="18" name="liFemalee_expectancy_country"/>
    <tableColumn id="19" name="tax_revenue_country_country"/>
    <tableColumn id="20" name="total_tax_rate_country"/>
    <tableColumn id="21" name="population_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2"/>
  <sheetViews>
    <sheetView zoomScale="107" workbookViewId="0">
      <selection activeCell="C9" sqref="C9"/>
    </sheetView>
  </sheetViews>
  <sheetFormatPr defaultColWidth="10.625" defaultRowHeight="15.75" x14ac:dyDescent="0.2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7"/>
  <sheetViews>
    <sheetView workbookViewId="0">
      <selection activeCell="J8" sqref="J8"/>
    </sheetView>
  </sheetViews>
  <sheetFormatPr defaultRowHeight="15.75" x14ac:dyDescent="0.25"/>
  <cols>
    <col min="17" max="17" width="22.625" style="3" customWidth="1"/>
    <col min="22" max="23" width="10.375" bestFit="1" customWidth="1"/>
  </cols>
  <sheetData>
    <row r="1" spans="1:24" x14ac:dyDescent="0.25">
      <c r="A1" s="2" t="s">
        <v>0</v>
      </c>
      <c r="B1" s="2" t="s">
        <v>2</v>
      </c>
      <c r="C1" s="2" t="s">
        <v>1796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2467</v>
      </c>
      <c r="I1" s="2" t="s">
        <v>9</v>
      </c>
      <c r="J1" s="2" t="s">
        <v>10</v>
      </c>
      <c r="K1" s="2" t="s">
        <v>2466</v>
      </c>
      <c r="L1" s="2" t="s">
        <v>2465</v>
      </c>
      <c r="M1" s="2" t="s">
        <v>12</v>
      </c>
      <c r="N1" s="2" t="s">
        <v>1797</v>
      </c>
      <c r="O1" s="2" t="s">
        <v>14</v>
      </c>
      <c r="P1" s="2" t="s">
        <v>15</v>
      </c>
      <c r="Q1" s="4" t="s">
        <v>16</v>
      </c>
      <c r="R1" s="2" t="s">
        <v>2211</v>
      </c>
      <c r="S1" s="2" t="s">
        <v>18</v>
      </c>
      <c r="T1" s="2" t="s">
        <v>19</v>
      </c>
      <c r="U1" s="2" t="s">
        <v>20</v>
      </c>
      <c r="V1" s="2" t="s">
        <v>2462</v>
      </c>
      <c r="W1" s="2" t="s">
        <v>2463</v>
      </c>
      <c r="X1" s="2" t="s">
        <v>2464</v>
      </c>
    </row>
    <row r="2" spans="1:24" x14ac:dyDescent="0.25">
      <c r="A2">
        <v>1</v>
      </c>
      <c r="B2" t="s">
        <v>21</v>
      </c>
      <c r="C2" t="s">
        <v>2213</v>
      </c>
      <c r="D2" t="s">
        <v>2214</v>
      </c>
      <c r="E2" t="s">
        <v>24</v>
      </c>
      <c r="F2" t="s">
        <v>1798</v>
      </c>
      <c r="G2" t="s">
        <v>21</v>
      </c>
      <c r="H2" t="b">
        <v>0</v>
      </c>
      <c r="I2" t="s">
        <v>1799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3">
        <v>2715518274227</v>
      </c>
      <c r="R2">
        <v>82.5</v>
      </c>
      <c r="S2">
        <v>24.2</v>
      </c>
      <c r="T2">
        <v>60.7</v>
      </c>
      <c r="U2">
        <v>67059887</v>
      </c>
      <c r="V2" s="5">
        <f>DATE(M2, N2, O2 )</f>
        <v>17962</v>
      </c>
      <c r="W2" s="5">
        <f ca="1">TODAY()</f>
        <v>46116</v>
      </c>
      <c r="X2">
        <f ca="1">INT(YEARFRAC(V2, W2))</f>
        <v>77</v>
      </c>
    </row>
    <row r="3" spans="1:24" x14ac:dyDescent="0.25">
      <c r="A3">
        <v>2</v>
      </c>
      <c r="B3" t="s">
        <v>1800</v>
      </c>
      <c r="C3" t="s">
        <v>1801</v>
      </c>
      <c r="D3" t="s">
        <v>32</v>
      </c>
      <c r="E3" t="s">
        <v>33</v>
      </c>
      <c r="F3" t="s">
        <v>34</v>
      </c>
      <c r="G3" t="s">
        <v>1800</v>
      </c>
      <c r="H3" t="b">
        <v>1</v>
      </c>
      <c r="I3" t="s">
        <v>1799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3">
        <v>21427700000000</v>
      </c>
      <c r="R3">
        <v>78.5</v>
      </c>
      <c r="S3">
        <v>9.6</v>
      </c>
      <c r="T3">
        <v>36.6</v>
      </c>
      <c r="U3">
        <v>328239523</v>
      </c>
      <c r="V3" s="5">
        <f t="shared" ref="V3:V66" si="0">DATE(M3, N3, O3 )</f>
        <v>26112</v>
      </c>
      <c r="W3" s="5">
        <f t="shared" ref="W3:W66" ca="1" si="1">TODAY()</f>
        <v>46116</v>
      </c>
      <c r="X3">
        <f t="shared" ref="X3:X66" ca="1" si="2">INT(YEARFRAC(V3, W3))</f>
        <v>54</v>
      </c>
    </row>
    <row r="4" spans="1:24" x14ac:dyDescent="0.25">
      <c r="A4">
        <v>3</v>
      </c>
      <c r="B4" t="s">
        <v>38</v>
      </c>
      <c r="C4" t="s">
        <v>39</v>
      </c>
      <c r="D4" t="s">
        <v>32</v>
      </c>
      <c r="E4" t="s">
        <v>1802</v>
      </c>
      <c r="F4" t="s">
        <v>1803</v>
      </c>
      <c r="G4" t="s">
        <v>38</v>
      </c>
      <c r="H4" t="b">
        <v>1</v>
      </c>
      <c r="I4" t="s">
        <v>1799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3">
        <v>21427700000000</v>
      </c>
      <c r="R4">
        <v>78.5</v>
      </c>
      <c r="S4">
        <v>9.6</v>
      </c>
      <c r="T4">
        <v>36.6</v>
      </c>
      <c r="U4">
        <v>328239523</v>
      </c>
      <c r="V4" s="5">
        <f t="shared" si="0"/>
        <v>23388</v>
      </c>
      <c r="W4" s="5">
        <f t="shared" ca="1" si="1"/>
        <v>46116</v>
      </c>
      <c r="X4">
        <f t="shared" ca="1" si="2"/>
        <v>62</v>
      </c>
    </row>
    <row r="5" spans="1:24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1799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3">
        <v>21427700000000</v>
      </c>
      <c r="R5">
        <v>78.5</v>
      </c>
      <c r="S5">
        <v>9.6</v>
      </c>
      <c r="T5">
        <v>36.6</v>
      </c>
      <c r="U5">
        <v>328239523</v>
      </c>
      <c r="V5" s="5">
        <f t="shared" si="0"/>
        <v>16301</v>
      </c>
      <c r="W5" s="5">
        <f t="shared" ca="1" si="1"/>
        <v>46116</v>
      </c>
      <c r="X5">
        <f t="shared" ca="1" si="2"/>
        <v>81</v>
      </c>
    </row>
    <row r="6" spans="1:24" x14ac:dyDescent="0.25">
      <c r="A6">
        <v>5</v>
      </c>
      <c r="B6" t="s">
        <v>2491</v>
      </c>
      <c r="C6" t="s">
        <v>2218</v>
      </c>
      <c r="D6" t="s">
        <v>32</v>
      </c>
      <c r="E6" t="s">
        <v>1804</v>
      </c>
      <c r="F6" t="s">
        <v>52</v>
      </c>
      <c r="G6" t="s">
        <v>2491</v>
      </c>
      <c r="H6" t="b">
        <v>1</v>
      </c>
      <c r="I6" t="s">
        <v>1799</v>
      </c>
      <c r="J6" t="s">
        <v>2219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3">
        <v>21427700000000</v>
      </c>
      <c r="R6">
        <v>78.5</v>
      </c>
      <c r="S6">
        <v>9.6</v>
      </c>
      <c r="T6">
        <v>36.6</v>
      </c>
      <c r="U6">
        <v>328239523</v>
      </c>
      <c r="V6" s="5">
        <f t="shared" si="0"/>
        <v>11200</v>
      </c>
      <c r="W6" s="5">
        <f t="shared" ca="1" si="1"/>
        <v>46116</v>
      </c>
      <c r="X6">
        <f t="shared" ca="1" si="2"/>
        <v>95</v>
      </c>
    </row>
    <row r="7" spans="1:24" x14ac:dyDescent="0.25">
      <c r="A7">
        <v>6</v>
      </c>
      <c r="B7" t="s">
        <v>38</v>
      </c>
      <c r="C7" t="s">
        <v>55</v>
      </c>
      <c r="D7" t="s">
        <v>32</v>
      </c>
      <c r="E7" t="s">
        <v>1802</v>
      </c>
      <c r="F7" t="s">
        <v>2220</v>
      </c>
      <c r="G7" t="s">
        <v>38</v>
      </c>
      <c r="H7" t="b">
        <v>1</v>
      </c>
      <c r="I7" t="s">
        <v>1799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3">
        <v>21427700000000</v>
      </c>
      <c r="R7">
        <v>78.5</v>
      </c>
      <c r="S7">
        <v>9.6</v>
      </c>
      <c r="T7">
        <v>36.6</v>
      </c>
      <c r="U7">
        <v>328239523</v>
      </c>
      <c r="V7" s="5">
        <f t="shared" si="0"/>
        <v>20390</v>
      </c>
      <c r="W7" s="5">
        <f t="shared" ca="1" si="1"/>
        <v>46116</v>
      </c>
      <c r="X7">
        <f t="shared" ca="1" si="2"/>
        <v>70</v>
      </c>
    </row>
    <row r="8" spans="1:24" x14ac:dyDescent="0.25">
      <c r="A8">
        <v>7</v>
      </c>
      <c r="B8" t="s">
        <v>1805</v>
      </c>
      <c r="C8" t="s">
        <v>1806</v>
      </c>
      <c r="D8" t="s">
        <v>32</v>
      </c>
      <c r="E8" t="s">
        <v>61</v>
      </c>
      <c r="F8" t="s">
        <v>1807</v>
      </c>
      <c r="G8" t="s">
        <v>1805</v>
      </c>
      <c r="H8" t="b">
        <v>1</v>
      </c>
      <c r="I8" t="s">
        <v>1799</v>
      </c>
      <c r="J8" t="s">
        <v>1808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3">
        <v>21427700000000</v>
      </c>
      <c r="R8">
        <v>78.5</v>
      </c>
      <c r="S8">
        <v>9.6</v>
      </c>
      <c r="T8">
        <v>36.6</v>
      </c>
      <c r="U8">
        <v>328239523</v>
      </c>
      <c r="V8" s="5">
        <f t="shared" si="0"/>
        <v>15386</v>
      </c>
      <c r="W8" s="5">
        <f t="shared" ca="1" si="1"/>
        <v>46116</v>
      </c>
      <c r="X8">
        <f t="shared" ca="1" si="2"/>
        <v>84</v>
      </c>
    </row>
    <row r="9" spans="1:24" x14ac:dyDescent="0.25">
      <c r="A9">
        <v>8</v>
      </c>
      <c r="B9" t="s">
        <v>1810</v>
      </c>
      <c r="C9" t="s">
        <v>2221</v>
      </c>
      <c r="D9" t="s">
        <v>1811</v>
      </c>
      <c r="E9" t="s">
        <v>1812</v>
      </c>
      <c r="F9" t="s">
        <v>1810</v>
      </c>
      <c r="G9" t="s">
        <v>1810</v>
      </c>
      <c r="H9" t="b">
        <v>1</v>
      </c>
      <c r="I9" t="s">
        <v>1799</v>
      </c>
      <c r="J9" t="s">
        <v>1813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3">
        <v>1258286717125</v>
      </c>
      <c r="R9">
        <v>75</v>
      </c>
      <c r="S9">
        <v>13.1</v>
      </c>
      <c r="T9">
        <v>55.1</v>
      </c>
      <c r="U9">
        <v>126014024</v>
      </c>
      <c r="V9" s="5">
        <f t="shared" si="0"/>
        <v>14638</v>
      </c>
      <c r="W9" s="5">
        <f t="shared" ca="1" si="1"/>
        <v>46116</v>
      </c>
      <c r="X9">
        <f t="shared" ca="1" si="2"/>
        <v>86</v>
      </c>
    </row>
    <row r="10" spans="1:24" x14ac:dyDescent="0.25">
      <c r="A10">
        <v>9</v>
      </c>
      <c r="B10" t="s">
        <v>72</v>
      </c>
      <c r="C10" t="s">
        <v>1814</v>
      </c>
      <c r="D10" t="s">
        <v>74</v>
      </c>
      <c r="E10" t="s">
        <v>1815</v>
      </c>
      <c r="F10" t="s">
        <v>72</v>
      </c>
      <c r="G10" t="s">
        <v>72</v>
      </c>
      <c r="H10" t="b">
        <v>0</v>
      </c>
      <c r="I10" t="s">
        <v>1799</v>
      </c>
      <c r="J10" t="s">
        <v>1816</v>
      </c>
      <c r="K10" t="s">
        <v>1817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3">
        <v>2611000000000</v>
      </c>
      <c r="R10">
        <v>69.400000000000006</v>
      </c>
      <c r="S10">
        <v>11.2</v>
      </c>
      <c r="T10">
        <v>49.7</v>
      </c>
      <c r="U10">
        <v>1366417754</v>
      </c>
      <c r="V10" s="5">
        <f t="shared" si="0"/>
        <v>20929</v>
      </c>
      <c r="W10" s="5">
        <f t="shared" ca="1" si="1"/>
        <v>46116</v>
      </c>
      <c r="X10">
        <f t="shared" ca="1" si="2"/>
        <v>68</v>
      </c>
    </row>
    <row r="11" spans="1:24" x14ac:dyDescent="0.25">
      <c r="A11">
        <v>10</v>
      </c>
      <c r="B11" t="s">
        <v>38</v>
      </c>
      <c r="C11" t="s">
        <v>1818</v>
      </c>
      <c r="D11" t="s">
        <v>32</v>
      </c>
      <c r="E11" t="s">
        <v>80</v>
      </c>
      <c r="F11" t="s">
        <v>2220</v>
      </c>
      <c r="G11" t="s">
        <v>38</v>
      </c>
      <c r="H11" t="b">
        <v>1</v>
      </c>
      <c r="I11" t="s">
        <v>1799</v>
      </c>
      <c r="J11" t="s">
        <v>1819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3">
        <v>21427700000000</v>
      </c>
      <c r="R11">
        <v>78.5</v>
      </c>
      <c r="S11">
        <v>9.6</v>
      </c>
      <c r="T11">
        <v>36.6</v>
      </c>
      <c r="U11">
        <v>328239523</v>
      </c>
      <c r="V11" s="5">
        <f t="shared" si="0"/>
        <v>20538</v>
      </c>
      <c r="W11" s="5">
        <f t="shared" ca="1" si="1"/>
        <v>46116</v>
      </c>
      <c r="X11">
        <f t="shared" ca="1" si="2"/>
        <v>70</v>
      </c>
    </row>
    <row r="12" spans="1:24" x14ac:dyDescent="0.25">
      <c r="A12">
        <v>11</v>
      </c>
      <c r="B12" t="s">
        <v>21</v>
      </c>
      <c r="C12" t="s">
        <v>2222</v>
      </c>
      <c r="D12" t="s">
        <v>2214</v>
      </c>
      <c r="E12" t="s">
        <v>24</v>
      </c>
      <c r="F12" t="s">
        <v>84</v>
      </c>
      <c r="G12" t="s">
        <v>21</v>
      </c>
      <c r="H12" t="b">
        <v>0</v>
      </c>
      <c r="I12" t="s">
        <v>2223</v>
      </c>
      <c r="J12" t="s">
        <v>1820</v>
      </c>
      <c r="K12" t="s">
        <v>2224</v>
      </c>
      <c r="L12">
        <v>80500</v>
      </c>
      <c r="M12">
        <v>1953</v>
      </c>
      <c r="N12">
        <v>7</v>
      </c>
      <c r="O12">
        <v>10</v>
      </c>
      <c r="P12">
        <v>110.05</v>
      </c>
      <c r="Q12" s="3">
        <v>2715518274227</v>
      </c>
      <c r="R12">
        <v>82.5</v>
      </c>
      <c r="S12">
        <v>24.2</v>
      </c>
      <c r="T12">
        <v>60.7</v>
      </c>
      <c r="U12">
        <v>67059887</v>
      </c>
      <c r="V12" s="5">
        <f t="shared" si="0"/>
        <v>19550</v>
      </c>
      <c r="W12" s="5">
        <f t="shared" ca="1" si="1"/>
        <v>46116</v>
      </c>
      <c r="X12">
        <f t="shared" ca="1" si="2"/>
        <v>72</v>
      </c>
    </row>
    <row r="13" spans="1:24" x14ac:dyDescent="0.25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1799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3">
        <v>21427700000000</v>
      </c>
      <c r="R13">
        <v>78.5</v>
      </c>
      <c r="S13">
        <v>9.6</v>
      </c>
      <c r="T13">
        <v>36.6</v>
      </c>
      <c r="U13">
        <v>328239523</v>
      </c>
      <c r="V13" s="5">
        <f t="shared" si="0"/>
        <v>26749</v>
      </c>
      <c r="W13" s="5">
        <f t="shared" ca="1" si="1"/>
        <v>46116</v>
      </c>
      <c r="X13">
        <f t="shared" ca="1" si="2"/>
        <v>53</v>
      </c>
    </row>
    <row r="14" spans="1:24" x14ac:dyDescent="0.25">
      <c r="A14">
        <v>13</v>
      </c>
      <c r="B14" t="s">
        <v>21</v>
      </c>
      <c r="C14" t="s">
        <v>1821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1799</v>
      </c>
      <c r="J14" t="s">
        <v>96</v>
      </c>
      <c r="K14" t="s">
        <v>1822</v>
      </c>
      <c r="L14">
        <v>77300</v>
      </c>
      <c r="M14">
        <v>1936</v>
      </c>
      <c r="N14">
        <v>3</v>
      </c>
      <c r="O14">
        <v>28</v>
      </c>
      <c r="P14">
        <v>110.96</v>
      </c>
      <c r="Q14" s="3">
        <v>1394116310769</v>
      </c>
      <c r="R14">
        <v>83.3</v>
      </c>
      <c r="S14">
        <v>14.2</v>
      </c>
      <c r="T14">
        <v>47</v>
      </c>
      <c r="U14">
        <v>47076781</v>
      </c>
      <c r="V14" s="5">
        <f t="shared" si="0"/>
        <v>13237</v>
      </c>
      <c r="W14" s="5">
        <f t="shared" ca="1" si="1"/>
        <v>46116</v>
      </c>
      <c r="X14">
        <f t="shared" ca="1" si="2"/>
        <v>90</v>
      </c>
    </row>
    <row r="15" spans="1:24" x14ac:dyDescent="0.25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1799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3">
        <v>21427700000000</v>
      </c>
      <c r="R15">
        <v>78.5</v>
      </c>
      <c r="S15">
        <v>9.6</v>
      </c>
      <c r="T15">
        <v>36.6</v>
      </c>
      <c r="U15">
        <v>328239523</v>
      </c>
      <c r="V15" s="5">
        <f t="shared" si="0"/>
        <v>26897</v>
      </c>
      <c r="W15" s="5">
        <f t="shared" ca="1" si="1"/>
        <v>46116</v>
      </c>
      <c r="X15">
        <f t="shared" ca="1" si="2"/>
        <v>52</v>
      </c>
    </row>
    <row r="16" spans="1:24" x14ac:dyDescent="0.25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1823</v>
      </c>
      <c r="G16" t="s">
        <v>103</v>
      </c>
      <c r="H16" t="b">
        <v>1</v>
      </c>
      <c r="I16" t="s">
        <v>1799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3">
        <v>19910000000000</v>
      </c>
      <c r="R16">
        <v>77</v>
      </c>
      <c r="S16">
        <v>9.4</v>
      </c>
      <c r="T16">
        <v>59.2</v>
      </c>
      <c r="U16">
        <v>1397715000</v>
      </c>
      <c r="V16" s="5">
        <f t="shared" si="0"/>
        <v>20059</v>
      </c>
      <c r="W16" s="5">
        <f t="shared" ca="1" si="1"/>
        <v>46116</v>
      </c>
      <c r="X16">
        <f t="shared" ca="1" si="2"/>
        <v>71</v>
      </c>
    </row>
    <row r="17" spans="1:24" x14ac:dyDescent="0.25">
      <c r="A17">
        <v>16</v>
      </c>
      <c r="B17" t="s">
        <v>38</v>
      </c>
      <c r="C17" t="s">
        <v>1824</v>
      </c>
      <c r="D17" t="s">
        <v>32</v>
      </c>
      <c r="E17" t="s">
        <v>89</v>
      </c>
      <c r="F17" t="s">
        <v>2225</v>
      </c>
      <c r="G17" t="s">
        <v>38</v>
      </c>
      <c r="H17" t="b">
        <v>1</v>
      </c>
      <c r="I17" t="s">
        <v>1799</v>
      </c>
      <c r="J17" t="s">
        <v>113</v>
      </c>
      <c r="K17" t="s">
        <v>1825</v>
      </c>
      <c r="L17">
        <v>64400</v>
      </c>
      <c r="M17">
        <v>1984</v>
      </c>
      <c r="N17">
        <v>5</v>
      </c>
      <c r="O17">
        <v>14</v>
      </c>
      <c r="P17">
        <v>117.24</v>
      </c>
      <c r="Q17" s="3">
        <v>21427700000000</v>
      </c>
      <c r="R17">
        <v>78.5</v>
      </c>
      <c r="S17">
        <v>9.6</v>
      </c>
      <c r="T17">
        <v>36.6</v>
      </c>
      <c r="U17">
        <v>328239523</v>
      </c>
      <c r="V17" s="5">
        <f t="shared" si="0"/>
        <v>30816</v>
      </c>
      <c r="W17" s="5">
        <f t="shared" ca="1" si="1"/>
        <v>46116</v>
      </c>
      <c r="X17">
        <f t="shared" ca="1" si="2"/>
        <v>41</v>
      </c>
    </row>
    <row r="18" spans="1:24" x14ac:dyDescent="0.25">
      <c r="A18">
        <v>17</v>
      </c>
      <c r="B18" t="s">
        <v>72</v>
      </c>
      <c r="C18" t="s">
        <v>2226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1799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3">
        <v>21427700000000</v>
      </c>
      <c r="R18">
        <v>78.5</v>
      </c>
      <c r="S18">
        <v>9.6</v>
      </c>
      <c r="T18">
        <v>36.6</v>
      </c>
      <c r="U18">
        <v>328239523</v>
      </c>
      <c r="V18" s="5">
        <f t="shared" si="0"/>
        <v>13089</v>
      </c>
      <c r="W18" s="5">
        <f t="shared" ca="1" si="1"/>
        <v>46116</v>
      </c>
      <c r="X18">
        <f t="shared" ca="1" si="2"/>
        <v>90</v>
      </c>
    </row>
    <row r="19" spans="1:24" x14ac:dyDescent="0.25">
      <c r="A19">
        <v>17</v>
      </c>
      <c r="B19" t="s">
        <v>72</v>
      </c>
      <c r="C19" t="s">
        <v>2227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2223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3">
        <v>21427700000000</v>
      </c>
      <c r="R19">
        <v>78.5</v>
      </c>
      <c r="S19">
        <v>9.6</v>
      </c>
      <c r="T19">
        <v>36.6</v>
      </c>
      <c r="U19">
        <v>328239523</v>
      </c>
      <c r="V19" s="5">
        <f t="shared" si="0"/>
        <v>22748</v>
      </c>
      <c r="W19" s="5">
        <f t="shared" ca="1" si="1"/>
        <v>46116</v>
      </c>
      <c r="X19">
        <f t="shared" ca="1" si="2"/>
        <v>63</v>
      </c>
    </row>
    <row r="20" spans="1:24" x14ac:dyDescent="0.25">
      <c r="A20">
        <v>19</v>
      </c>
      <c r="B20" t="s">
        <v>21</v>
      </c>
      <c r="C20" t="s">
        <v>1826</v>
      </c>
      <c r="D20" t="s">
        <v>32</v>
      </c>
      <c r="E20" t="s">
        <v>123</v>
      </c>
      <c r="F20" t="s">
        <v>1827</v>
      </c>
      <c r="G20" t="s">
        <v>21</v>
      </c>
      <c r="H20" t="b">
        <v>0</v>
      </c>
      <c r="I20" t="s">
        <v>1799</v>
      </c>
      <c r="J20" t="s">
        <v>125</v>
      </c>
      <c r="K20" t="s">
        <v>1828</v>
      </c>
      <c r="L20">
        <v>58800</v>
      </c>
      <c r="M20">
        <v>1948</v>
      </c>
      <c r="N20">
        <v>6</v>
      </c>
      <c r="O20">
        <v>7</v>
      </c>
      <c r="P20">
        <v>117.24</v>
      </c>
      <c r="Q20" s="3">
        <v>21427700000000</v>
      </c>
      <c r="R20">
        <v>78.5</v>
      </c>
      <c r="S20">
        <v>9.6</v>
      </c>
      <c r="T20">
        <v>36.6</v>
      </c>
      <c r="U20">
        <v>328239523</v>
      </c>
      <c r="V20" s="5">
        <f t="shared" si="0"/>
        <v>17691</v>
      </c>
      <c r="W20" s="5">
        <f t="shared" ca="1" si="1"/>
        <v>46116</v>
      </c>
      <c r="X20">
        <f t="shared" ca="1" si="2"/>
        <v>77</v>
      </c>
    </row>
    <row r="21" spans="1:24" x14ac:dyDescent="0.25">
      <c r="A21">
        <v>20</v>
      </c>
      <c r="B21" t="s">
        <v>21</v>
      </c>
      <c r="C21" t="s">
        <v>2228</v>
      </c>
      <c r="D21" t="s">
        <v>32</v>
      </c>
      <c r="E21" t="s">
        <v>123</v>
      </c>
      <c r="F21" t="s">
        <v>1827</v>
      </c>
      <c r="G21" t="s">
        <v>21</v>
      </c>
      <c r="H21" t="b">
        <v>0</v>
      </c>
      <c r="I21" t="s">
        <v>1799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3">
        <v>21427700000000</v>
      </c>
      <c r="R21">
        <v>78.5</v>
      </c>
      <c r="S21">
        <v>9.6</v>
      </c>
      <c r="T21">
        <v>36.6</v>
      </c>
      <c r="U21">
        <v>328239523</v>
      </c>
      <c r="V21" s="5">
        <f t="shared" si="0"/>
        <v>16372</v>
      </c>
      <c r="W21" s="5">
        <f t="shared" ca="1" si="1"/>
        <v>46116</v>
      </c>
      <c r="X21">
        <f t="shared" ca="1" si="2"/>
        <v>81</v>
      </c>
    </row>
    <row r="22" spans="1:24" x14ac:dyDescent="0.25">
      <c r="A22">
        <v>21</v>
      </c>
      <c r="B22" t="s">
        <v>21</v>
      </c>
      <c r="C22" t="s">
        <v>129</v>
      </c>
      <c r="D22" t="s">
        <v>32</v>
      </c>
      <c r="E22" t="s">
        <v>2229</v>
      </c>
      <c r="F22" t="s">
        <v>1827</v>
      </c>
      <c r="G22" t="s">
        <v>21</v>
      </c>
      <c r="H22" t="b">
        <v>0</v>
      </c>
      <c r="I22" t="s">
        <v>2223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3">
        <v>21427700000000</v>
      </c>
      <c r="R22">
        <v>78.5</v>
      </c>
      <c r="S22">
        <v>9.6</v>
      </c>
      <c r="T22">
        <v>36.6</v>
      </c>
      <c r="U22">
        <v>328239523</v>
      </c>
      <c r="V22" s="5">
        <f t="shared" si="0"/>
        <v>18178</v>
      </c>
      <c r="W22" s="5">
        <f t="shared" ca="1" si="1"/>
        <v>46116</v>
      </c>
      <c r="X22">
        <f t="shared" ca="1" si="2"/>
        <v>76</v>
      </c>
    </row>
    <row r="23" spans="1:24" x14ac:dyDescent="0.25">
      <c r="A23">
        <v>22</v>
      </c>
      <c r="B23" t="s">
        <v>1805</v>
      </c>
      <c r="C23" t="s">
        <v>2230</v>
      </c>
      <c r="D23" t="s">
        <v>133</v>
      </c>
      <c r="E23" t="s">
        <v>134</v>
      </c>
      <c r="F23" t="s">
        <v>1829</v>
      </c>
      <c r="G23" t="s">
        <v>1805</v>
      </c>
      <c r="H23" t="b">
        <v>0</v>
      </c>
      <c r="I23" t="s">
        <v>1799</v>
      </c>
      <c r="J23" t="s">
        <v>1830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3">
        <v>1736425629520</v>
      </c>
      <c r="R23">
        <v>81.900000000000006</v>
      </c>
      <c r="S23">
        <v>12.8</v>
      </c>
      <c r="T23">
        <v>24.5</v>
      </c>
      <c r="U23">
        <v>36991981</v>
      </c>
      <c r="V23" s="5">
        <f t="shared" si="0"/>
        <v>20983</v>
      </c>
      <c r="W23" s="5">
        <f t="shared" ca="1" si="1"/>
        <v>46116</v>
      </c>
      <c r="X23">
        <f t="shared" ca="1" si="2"/>
        <v>68</v>
      </c>
    </row>
    <row r="24" spans="1:24" x14ac:dyDescent="0.25">
      <c r="A24">
        <v>23</v>
      </c>
      <c r="B24" t="s">
        <v>38</v>
      </c>
      <c r="C24" t="s">
        <v>1831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1799</v>
      </c>
      <c r="J24" t="s">
        <v>141</v>
      </c>
      <c r="K24" t="s">
        <v>1809</v>
      </c>
      <c r="L24">
        <v>50100</v>
      </c>
      <c r="M24">
        <v>1965</v>
      </c>
      <c r="N24">
        <v>2</v>
      </c>
      <c r="O24">
        <v>23</v>
      </c>
      <c r="P24">
        <v>117.24</v>
      </c>
      <c r="Q24" s="3">
        <v>21427700000000</v>
      </c>
      <c r="R24">
        <v>78.5</v>
      </c>
      <c r="S24">
        <v>9.6</v>
      </c>
      <c r="T24">
        <v>36.6</v>
      </c>
      <c r="U24">
        <v>328239523</v>
      </c>
      <c r="V24" s="5">
        <f t="shared" si="0"/>
        <v>23796</v>
      </c>
      <c r="W24" s="5">
        <f t="shared" ca="1" si="1"/>
        <v>46116</v>
      </c>
      <c r="X24">
        <f t="shared" ca="1" si="2"/>
        <v>61</v>
      </c>
    </row>
    <row r="25" spans="1:24" x14ac:dyDescent="0.25">
      <c r="A25">
        <v>24</v>
      </c>
      <c r="B25" t="s">
        <v>72</v>
      </c>
      <c r="C25" t="s">
        <v>1832</v>
      </c>
      <c r="D25" t="s">
        <v>74</v>
      </c>
      <c r="E25" t="s">
        <v>1833</v>
      </c>
      <c r="F25" t="s">
        <v>2231</v>
      </c>
      <c r="G25" t="s">
        <v>72</v>
      </c>
      <c r="H25" t="b">
        <v>1</v>
      </c>
      <c r="I25" t="s">
        <v>1799</v>
      </c>
      <c r="J25" t="s">
        <v>145</v>
      </c>
      <c r="K25" t="s">
        <v>1834</v>
      </c>
      <c r="L25">
        <v>47200</v>
      </c>
      <c r="M25">
        <v>1962</v>
      </c>
      <c r="N25">
        <v>6</v>
      </c>
      <c r="O25">
        <v>24</v>
      </c>
      <c r="P25">
        <v>180.44</v>
      </c>
      <c r="Q25" s="3">
        <v>2611000000000</v>
      </c>
      <c r="R25">
        <v>69.400000000000006</v>
      </c>
      <c r="S25">
        <v>11.2</v>
      </c>
      <c r="T25">
        <v>49.7</v>
      </c>
      <c r="U25">
        <v>1366417754</v>
      </c>
      <c r="V25" s="5">
        <f t="shared" si="0"/>
        <v>22821</v>
      </c>
      <c r="W25" s="5">
        <f t="shared" ca="1" si="1"/>
        <v>46116</v>
      </c>
      <c r="X25">
        <f t="shared" ca="1" si="2"/>
        <v>63</v>
      </c>
    </row>
    <row r="26" spans="1:24" x14ac:dyDescent="0.25">
      <c r="A26">
        <v>25</v>
      </c>
      <c r="B26" t="s">
        <v>21</v>
      </c>
      <c r="C26" t="s">
        <v>2232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1799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3">
        <v>21427700000000</v>
      </c>
      <c r="R26">
        <v>78.5</v>
      </c>
      <c r="S26">
        <v>9.6</v>
      </c>
      <c r="T26">
        <v>36.6</v>
      </c>
      <c r="U26">
        <v>328239523</v>
      </c>
      <c r="V26" s="5">
        <f t="shared" si="0"/>
        <v>13935</v>
      </c>
      <c r="W26" s="5">
        <f t="shared" ca="1" si="1"/>
        <v>46116</v>
      </c>
      <c r="X26">
        <f t="shared" ca="1" si="2"/>
        <v>88</v>
      </c>
    </row>
    <row r="27" spans="1:24" x14ac:dyDescent="0.25">
      <c r="A27">
        <v>26</v>
      </c>
      <c r="B27" t="s">
        <v>38</v>
      </c>
      <c r="C27" t="s">
        <v>1835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1799</v>
      </c>
      <c r="J27" t="s">
        <v>155</v>
      </c>
      <c r="K27" t="s">
        <v>1836</v>
      </c>
      <c r="L27">
        <v>45000</v>
      </c>
      <c r="M27">
        <v>1984</v>
      </c>
      <c r="N27">
        <v>1</v>
      </c>
      <c r="O27">
        <v>1</v>
      </c>
      <c r="P27">
        <v>125.08</v>
      </c>
      <c r="Q27" s="3">
        <v>19910000000000</v>
      </c>
      <c r="R27">
        <v>77</v>
      </c>
      <c r="S27">
        <v>9.4</v>
      </c>
      <c r="T27">
        <v>59.2</v>
      </c>
      <c r="U27">
        <v>1397715000</v>
      </c>
      <c r="V27" s="5">
        <f t="shared" si="0"/>
        <v>30682</v>
      </c>
      <c r="W27" s="5">
        <f t="shared" ca="1" si="1"/>
        <v>46116</v>
      </c>
      <c r="X27">
        <f t="shared" ca="1" si="2"/>
        <v>42</v>
      </c>
    </row>
    <row r="28" spans="1:24" x14ac:dyDescent="0.25">
      <c r="A28">
        <v>27</v>
      </c>
      <c r="B28" t="s">
        <v>21</v>
      </c>
      <c r="C28" t="s">
        <v>157</v>
      </c>
      <c r="D28" t="s">
        <v>1837</v>
      </c>
      <c r="E28" t="s">
        <v>1838</v>
      </c>
      <c r="F28" t="s">
        <v>160</v>
      </c>
      <c r="G28" t="s">
        <v>21</v>
      </c>
      <c r="H28" t="b">
        <v>0</v>
      </c>
      <c r="I28" t="s">
        <v>1799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3">
        <v>3845630030824</v>
      </c>
      <c r="R28">
        <v>80.900000000000006</v>
      </c>
      <c r="S28">
        <v>11.5</v>
      </c>
      <c r="T28">
        <v>48.8</v>
      </c>
      <c r="U28">
        <v>83132799</v>
      </c>
      <c r="V28" s="5">
        <f t="shared" si="0"/>
        <v>14512</v>
      </c>
      <c r="W28" s="5">
        <f t="shared" ca="1" si="1"/>
        <v>46116</v>
      </c>
      <c r="X28">
        <f t="shared" ca="1" si="2"/>
        <v>86</v>
      </c>
    </row>
    <row r="29" spans="1:24" x14ac:dyDescent="0.25">
      <c r="A29">
        <v>28</v>
      </c>
      <c r="B29" t="s">
        <v>21</v>
      </c>
      <c r="C29" t="s">
        <v>2233</v>
      </c>
      <c r="D29" t="s">
        <v>2214</v>
      </c>
      <c r="E29" t="s">
        <v>24</v>
      </c>
      <c r="F29" t="s">
        <v>165</v>
      </c>
      <c r="G29" t="s">
        <v>21</v>
      </c>
      <c r="H29" t="b">
        <v>1</v>
      </c>
      <c r="I29" t="s">
        <v>1799</v>
      </c>
      <c r="J29" t="s">
        <v>166</v>
      </c>
      <c r="K29" t="s">
        <v>2234</v>
      </c>
      <c r="L29">
        <v>40100</v>
      </c>
      <c r="M29">
        <v>1936</v>
      </c>
      <c r="N29">
        <v>8</v>
      </c>
      <c r="O29">
        <v>21</v>
      </c>
      <c r="P29">
        <v>110.05</v>
      </c>
      <c r="Q29" s="3">
        <v>2715518274227</v>
      </c>
      <c r="R29">
        <v>82.5</v>
      </c>
      <c r="S29">
        <v>24.2</v>
      </c>
      <c r="T29">
        <v>60.7</v>
      </c>
      <c r="U29">
        <v>67059887</v>
      </c>
      <c r="V29" s="5">
        <f t="shared" si="0"/>
        <v>13383</v>
      </c>
      <c r="W29" s="5">
        <f t="shared" ca="1" si="1"/>
        <v>46116</v>
      </c>
      <c r="X29">
        <f t="shared" ca="1" si="2"/>
        <v>89</v>
      </c>
    </row>
    <row r="30" spans="1:24" x14ac:dyDescent="0.25">
      <c r="A30">
        <v>29</v>
      </c>
      <c r="B30" t="s">
        <v>168</v>
      </c>
      <c r="C30" t="s">
        <v>1839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1799</v>
      </c>
      <c r="J30" t="s">
        <v>173</v>
      </c>
      <c r="K30" t="s">
        <v>1840</v>
      </c>
      <c r="L30">
        <v>39100</v>
      </c>
      <c r="M30">
        <v>1937</v>
      </c>
      <c r="N30">
        <v>6</v>
      </c>
      <c r="O30">
        <v>2</v>
      </c>
      <c r="P30">
        <v>99.55</v>
      </c>
      <c r="Q30" s="3">
        <v>703082435360</v>
      </c>
      <c r="R30">
        <v>83.6</v>
      </c>
      <c r="S30">
        <v>10.1</v>
      </c>
      <c r="T30">
        <v>28.8</v>
      </c>
      <c r="U30">
        <v>8574832</v>
      </c>
      <c r="V30" s="5">
        <f t="shared" si="0"/>
        <v>13668</v>
      </c>
      <c r="W30" s="5">
        <f t="shared" ca="1" si="1"/>
        <v>46116</v>
      </c>
      <c r="X30">
        <f t="shared" ca="1" si="2"/>
        <v>88</v>
      </c>
    </row>
    <row r="31" spans="1:24" x14ac:dyDescent="0.25">
      <c r="A31">
        <v>30</v>
      </c>
      <c r="B31" t="s">
        <v>103</v>
      </c>
      <c r="C31" t="s">
        <v>2235</v>
      </c>
      <c r="D31" t="s">
        <v>1841</v>
      </c>
      <c r="E31" t="s">
        <v>178</v>
      </c>
      <c r="F31" t="s">
        <v>179</v>
      </c>
      <c r="G31" t="s">
        <v>103</v>
      </c>
      <c r="H31" t="b">
        <v>0</v>
      </c>
      <c r="I31" t="s">
        <v>1799</v>
      </c>
      <c r="J31" t="s">
        <v>2236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3">
        <v>529606710418</v>
      </c>
      <c r="R31">
        <v>81.599999999999994</v>
      </c>
      <c r="S31">
        <v>24</v>
      </c>
      <c r="T31">
        <v>55.4</v>
      </c>
      <c r="U31">
        <v>11484055</v>
      </c>
      <c r="V31" s="5">
        <f t="shared" si="0"/>
        <v>23641</v>
      </c>
      <c r="W31" s="5">
        <f t="shared" ca="1" si="1"/>
        <v>46116</v>
      </c>
      <c r="X31">
        <f t="shared" ca="1" si="2"/>
        <v>61</v>
      </c>
    </row>
    <row r="32" spans="1:24" x14ac:dyDescent="0.25">
      <c r="A32">
        <v>31</v>
      </c>
      <c r="B32" t="s">
        <v>103</v>
      </c>
      <c r="C32" t="s">
        <v>1842</v>
      </c>
      <c r="D32" t="s">
        <v>32</v>
      </c>
      <c r="E32" t="s">
        <v>184</v>
      </c>
      <c r="F32" t="s">
        <v>2237</v>
      </c>
      <c r="G32" t="s">
        <v>103</v>
      </c>
      <c r="H32" t="b">
        <v>0</v>
      </c>
      <c r="I32" t="s">
        <v>2223</v>
      </c>
      <c r="J32" t="s">
        <v>1843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3">
        <v>21427700000000</v>
      </c>
      <c r="R32">
        <v>78.5</v>
      </c>
      <c r="S32">
        <v>9.6</v>
      </c>
      <c r="T32">
        <v>36.6</v>
      </c>
      <c r="U32">
        <v>328239523</v>
      </c>
      <c r="V32" s="5">
        <f t="shared" si="0"/>
        <v>14528</v>
      </c>
      <c r="W32" s="5">
        <f t="shared" ca="1" si="1"/>
        <v>46116</v>
      </c>
      <c r="X32">
        <f t="shared" ca="1" si="2"/>
        <v>86</v>
      </c>
    </row>
    <row r="33" spans="1:24" x14ac:dyDescent="0.25">
      <c r="A33">
        <v>31</v>
      </c>
      <c r="B33" t="s">
        <v>103</v>
      </c>
      <c r="C33" t="s">
        <v>1844</v>
      </c>
      <c r="D33" t="s">
        <v>32</v>
      </c>
      <c r="E33" t="s">
        <v>189</v>
      </c>
      <c r="F33" t="s">
        <v>2237</v>
      </c>
      <c r="G33" t="s">
        <v>103</v>
      </c>
      <c r="H33" t="b">
        <v>0</v>
      </c>
      <c r="I33" t="s">
        <v>1799</v>
      </c>
      <c r="J33" t="s">
        <v>1843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3">
        <v>21427700000000</v>
      </c>
      <c r="R33">
        <v>78.5</v>
      </c>
      <c r="S33">
        <v>9.6</v>
      </c>
      <c r="T33">
        <v>36.6</v>
      </c>
      <c r="U33">
        <v>328239523</v>
      </c>
      <c r="V33" s="5">
        <f t="shared" si="0"/>
        <v>13072</v>
      </c>
      <c r="W33" s="5">
        <f t="shared" ca="1" si="1"/>
        <v>46116</v>
      </c>
      <c r="X33">
        <f t="shared" ca="1" si="2"/>
        <v>90</v>
      </c>
    </row>
    <row r="34" spans="1:24" x14ac:dyDescent="0.25">
      <c r="A34">
        <v>34</v>
      </c>
      <c r="B34" t="s">
        <v>38</v>
      </c>
      <c r="C34" t="s">
        <v>1845</v>
      </c>
      <c r="D34" t="s">
        <v>105</v>
      </c>
      <c r="E34" t="s">
        <v>192</v>
      </c>
      <c r="F34" t="s">
        <v>1846</v>
      </c>
      <c r="G34" t="s">
        <v>38</v>
      </c>
      <c r="H34" t="b">
        <v>1</v>
      </c>
      <c r="I34" t="s">
        <v>1799</v>
      </c>
      <c r="J34" t="s">
        <v>1847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3">
        <v>19910000000000</v>
      </c>
      <c r="R34">
        <v>77</v>
      </c>
      <c r="S34">
        <v>9.4</v>
      </c>
      <c r="T34">
        <v>59.2</v>
      </c>
      <c r="U34">
        <v>1397715000</v>
      </c>
      <c r="V34" s="5">
        <f t="shared" si="0"/>
        <v>26235</v>
      </c>
      <c r="W34" s="5">
        <f t="shared" ca="1" si="1"/>
        <v>46116</v>
      </c>
      <c r="X34">
        <f t="shared" ca="1" si="2"/>
        <v>54</v>
      </c>
    </row>
    <row r="35" spans="1:24" x14ac:dyDescent="0.25">
      <c r="A35">
        <v>35</v>
      </c>
      <c r="B35" t="s">
        <v>1848</v>
      </c>
      <c r="C35" t="s">
        <v>2238</v>
      </c>
      <c r="D35" t="s">
        <v>32</v>
      </c>
      <c r="E35" t="s">
        <v>198</v>
      </c>
      <c r="F35" t="s">
        <v>199</v>
      </c>
      <c r="G35" t="s">
        <v>1848</v>
      </c>
      <c r="H35" t="b">
        <v>0</v>
      </c>
      <c r="I35" t="s">
        <v>2223</v>
      </c>
      <c r="J35" t="s">
        <v>200</v>
      </c>
      <c r="K35" t="s">
        <v>1849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3">
        <v>21427700000000</v>
      </c>
      <c r="R35">
        <v>78.5</v>
      </c>
      <c r="S35">
        <v>9.6</v>
      </c>
      <c r="T35">
        <v>36.6</v>
      </c>
      <c r="U35">
        <v>328239523</v>
      </c>
      <c r="V35" s="5">
        <f t="shared" si="0"/>
        <v>16720</v>
      </c>
      <c r="W35" s="5">
        <f t="shared" ca="1" si="1"/>
        <v>46116</v>
      </c>
      <c r="X35">
        <f t="shared" ca="1" si="2"/>
        <v>80</v>
      </c>
    </row>
    <row r="36" spans="1:24" x14ac:dyDescent="0.25">
      <c r="A36">
        <v>35</v>
      </c>
      <c r="B36" t="s">
        <v>2491</v>
      </c>
      <c r="C36" t="s">
        <v>2239</v>
      </c>
      <c r="D36" t="s">
        <v>32</v>
      </c>
      <c r="E36" t="s">
        <v>1850</v>
      </c>
      <c r="F36" t="s">
        <v>2240</v>
      </c>
      <c r="G36" t="s">
        <v>2491</v>
      </c>
      <c r="H36" t="b">
        <v>1</v>
      </c>
      <c r="I36" t="s">
        <v>1799</v>
      </c>
      <c r="J36" t="s">
        <v>2241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3">
        <v>21427700000000</v>
      </c>
      <c r="R36">
        <v>78.5</v>
      </c>
      <c r="S36">
        <v>9.6</v>
      </c>
      <c r="T36">
        <v>36.6</v>
      </c>
      <c r="U36">
        <v>328239523</v>
      </c>
      <c r="V36" s="5">
        <f t="shared" si="0"/>
        <v>25126</v>
      </c>
      <c r="W36" s="5">
        <f t="shared" ca="1" si="1"/>
        <v>46116</v>
      </c>
      <c r="X36">
        <f t="shared" ca="1" si="2"/>
        <v>57</v>
      </c>
    </row>
    <row r="37" spans="1:24" x14ac:dyDescent="0.25">
      <c r="A37">
        <v>37</v>
      </c>
      <c r="B37" t="s">
        <v>103</v>
      </c>
      <c r="C37" t="s">
        <v>1851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1799</v>
      </c>
      <c r="J37" t="s">
        <v>1852</v>
      </c>
      <c r="K37" t="s">
        <v>1825</v>
      </c>
      <c r="L37">
        <v>34700</v>
      </c>
      <c r="M37">
        <v>1992</v>
      </c>
      <c r="N37">
        <v>5</v>
      </c>
      <c r="O37">
        <v>7</v>
      </c>
      <c r="P37">
        <v>118.06</v>
      </c>
      <c r="Q37" s="3">
        <v>446314739528</v>
      </c>
      <c r="R37">
        <v>81.599999999999994</v>
      </c>
      <c r="S37">
        <v>25.4</v>
      </c>
      <c r="T37">
        <v>51.4</v>
      </c>
      <c r="U37">
        <v>8877067</v>
      </c>
      <c r="V37" s="5">
        <f t="shared" si="0"/>
        <v>33731</v>
      </c>
      <c r="W37" s="5">
        <f t="shared" ca="1" si="1"/>
        <v>46116</v>
      </c>
      <c r="X37">
        <f t="shared" ca="1" si="2"/>
        <v>33</v>
      </c>
    </row>
    <row r="38" spans="1:24" x14ac:dyDescent="0.25">
      <c r="A38">
        <v>38</v>
      </c>
      <c r="B38" t="s">
        <v>1800</v>
      </c>
      <c r="C38" t="s">
        <v>213</v>
      </c>
      <c r="D38" t="s">
        <v>105</v>
      </c>
      <c r="E38" t="s">
        <v>214</v>
      </c>
      <c r="F38" t="s">
        <v>215</v>
      </c>
      <c r="G38" t="s">
        <v>1800</v>
      </c>
      <c r="H38" t="b">
        <v>1</v>
      </c>
      <c r="I38" t="s">
        <v>1799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3">
        <v>19910000000000</v>
      </c>
      <c r="R38">
        <v>77</v>
      </c>
      <c r="S38">
        <v>9.4</v>
      </c>
      <c r="T38">
        <v>59.2</v>
      </c>
      <c r="U38">
        <v>1397715000</v>
      </c>
      <c r="V38" s="5">
        <f t="shared" si="0"/>
        <v>25204</v>
      </c>
      <c r="W38" s="5">
        <f t="shared" ca="1" si="1"/>
        <v>46116</v>
      </c>
      <c r="X38">
        <f t="shared" ca="1" si="2"/>
        <v>57</v>
      </c>
    </row>
    <row r="39" spans="1:24" x14ac:dyDescent="0.25">
      <c r="A39">
        <v>39</v>
      </c>
      <c r="B39" t="s">
        <v>21</v>
      </c>
      <c r="C39" t="s">
        <v>2242</v>
      </c>
      <c r="D39" t="s">
        <v>219</v>
      </c>
      <c r="E39" t="s">
        <v>220</v>
      </c>
      <c r="F39" t="s">
        <v>2243</v>
      </c>
      <c r="G39" t="s">
        <v>21</v>
      </c>
      <c r="H39" t="b">
        <v>1</v>
      </c>
      <c r="I39" t="s">
        <v>1799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3">
        <v>5081769542380</v>
      </c>
      <c r="R39">
        <v>84.2</v>
      </c>
      <c r="S39">
        <v>11.9</v>
      </c>
      <c r="T39">
        <v>46.7</v>
      </c>
      <c r="U39">
        <v>126226568</v>
      </c>
      <c r="V39" s="5">
        <f t="shared" si="0"/>
        <v>17936</v>
      </c>
      <c r="W39" s="5">
        <f t="shared" ca="1" si="1"/>
        <v>46116</v>
      </c>
      <c r="X39">
        <f t="shared" ca="1" si="2"/>
        <v>77</v>
      </c>
    </row>
    <row r="40" spans="1:24" x14ac:dyDescent="0.25">
      <c r="A40">
        <v>40</v>
      </c>
      <c r="B40" t="s">
        <v>72</v>
      </c>
      <c r="C40" t="s">
        <v>225</v>
      </c>
      <c r="D40" t="s">
        <v>1853</v>
      </c>
      <c r="E40" t="s">
        <v>227</v>
      </c>
      <c r="F40" t="s">
        <v>1854</v>
      </c>
      <c r="G40" t="s">
        <v>72</v>
      </c>
      <c r="H40" t="b">
        <v>1</v>
      </c>
      <c r="I40" t="s">
        <v>1799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3">
        <v>2827113184696</v>
      </c>
      <c r="R40">
        <v>81.3</v>
      </c>
      <c r="S40">
        <v>25.5</v>
      </c>
      <c r="T40">
        <v>30.6</v>
      </c>
      <c r="U40">
        <v>66834405</v>
      </c>
      <c r="V40" s="5">
        <f t="shared" si="0"/>
        <v>20972</v>
      </c>
      <c r="W40" s="5">
        <f t="shared" ca="1" si="1"/>
        <v>46116</v>
      </c>
      <c r="X40">
        <f t="shared" ca="1" si="2"/>
        <v>68</v>
      </c>
    </row>
    <row r="41" spans="1:24" x14ac:dyDescent="0.25">
      <c r="A41">
        <v>41</v>
      </c>
      <c r="B41" t="s">
        <v>21</v>
      </c>
      <c r="C41" t="s">
        <v>1855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1799</v>
      </c>
      <c r="J41" t="s">
        <v>1856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3">
        <v>21427700000000</v>
      </c>
      <c r="R41">
        <v>78.5</v>
      </c>
      <c r="S41">
        <v>9.6</v>
      </c>
      <c r="T41">
        <v>36.6</v>
      </c>
      <c r="U41">
        <v>328239523</v>
      </c>
      <c r="V41" s="5">
        <f t="shared" si="0"/>
        <v>17773</v>
      </c>
      <c r="W41" s="5">
        <f t="shared" ca="1" si="1"/>
        <v>46116</v>
      </c>
      <c r="X41">
        <f t="shared" ca="1" si="2"/>
        <v>77</v>
      </c>
    </row>
    <row r="42" spans="1:24" x14ac:dyDescent="0.25">
      <c r="A42">
        <v>41</v>
      </c>
      <c r="B42" t="s">
        <v>21</v>
      </c>
      <c r="C42" t="s">
        <v>1857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1799</v>
      </c>
      <c r="J42" t="s">
        <v>1856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3">
        <v>21427700000000</v>
      </c>
      <c r="R42">
        <v>78.5</v>
      </c>
      <c r="S42">
        <v>9.6</v>
      </c>
      <c r="T42">
        <v>36.6</v>
      </c>
      <c r="U42">
        <v>328239523</v>
      </c>
      <c r="V42" s="5">
        <f t="shared" si="0"/>
        <v>18637</v>
      </c>
      <c r="W42" s="5">
        <f t="shared" ca="1" si="1"/>
        <v>46116</v>
      </c>
      <c r="X42">
        <f t="shared" ca="1" si="2"/>
        <v>75</v>
      </c>
    </row>
    <row r="43" spans="1:24" x14ac:dyDescent="0.25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1799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3">
        <v>703082435360</v>
      </c>
      <c r="R43">
        <v>83.6</v>
      </c>
      <c r="S43">
        <v>10.1</v>
      </c>
      <c r="T43">
        <v>28.8</v>
      </c>
      <c r="U43">
        <v>8574832</v>
      </c>
      <c r="V43" s="5">
        <f t="shared" si="0"/>
        <v>14789</v>
      </c>
      <c r="W43" s="5">
        <f t="shared" ca="1" si="1"/>
        <v>46116</v>
      </c>
      <c r="X43">
        <f t="shared" ca="1" si="2"/>
        <v>85</v>
      </c>
    </row>
    <row r="44" spans="1:24" x14ac:dyDescent="0.25">
      <c r="A44">
        <v>43</v>
      </c>
      <c r="B44" t="s">
        <v>168</v>
      </c>
      <c r="C44" t="s">
        <v>2244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2223</v>
      </c>
      <c r="J44" t="s">
        <v>1858</v>
      </c>
      <c r="K44" t="s">
        <v>2245</v>
      </c>
      <c r="L44">
        <v>31200</v>
      </c>
      <c r="M44">
        <v>1945</v>
      </c>
      <c r="N44">
        <v>3</v>
      </c>
      <c r="O44">
        <v>26</v>
      </c>
      <c r="P44">
        <v>99.55</v>
      </c>
      <c r="Q44" s="3">
        <v>703082435360</v>
      </c>
      <c r="R44">
        <v>83.6</v>
      </c>
      <c r="S44">
        <v>10.1</v>
      </c>
      <c r="T44">
        <v>28.8</v>
      </c>
      <c r="U44">
        <v>8574832</v>
      </c>
      <c r="V44" s="5">
        <f t="shared" si="0"/>
        <v>16522</v>
      </c>
      <c r="W44" s="5">
        <f t="shared" ca="1" si="1"/>
        <v>46116</v>
      </c>
      <c r="X44">
        <f t="shared" ca="1" si="2"/>
        <v>81</v>
      </c>
    </row>
    <row r="45" spans="1:24" x14ac:dyDescent="0.25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1859</v>
      </c>
      <c r="G45" t="s">
        <v>38</v>
      </c>
      <c r="H45" t="b">
        <v>1</v>
      </c>
      <c r="I45" t="s">
        <v>1799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3">
        <v>19910000000000</v>
      </c>
      <c r="R45">
        <v>77</v>
      </c>
      <c r="S45">
        <v>9.4</v>
      </c>
      <c r="T45">
        <v>59.2</v>
      </c>
      <c r="U45">
        <v>1397715000</v>
      </c>
      <c r="V45" s="5">
        <f t="shared" si="0"/>
        <v>29253</v>
      </c>
      <c r="W45" s="5">
        <f t="shared" ca="1" si="1"/>
        <v>46116</v>
      </c>
      <c r="X45">
        <f t="shared" ca="1" si="2"/>
        <v>46</v>
      </c>
    </row>
    <row r="46" spans="1:24" x14ac:dyDescent="0.25">
      <c r="A46">
        <v>46</v>
      </c>
      <c r="B46" t="s">
        <v>250</v>
      </c>
      <c r="C46" t="s">
        <v>2247</v>
      </c>
      <c r="D46" t="s">
        <v>1837</v>
      </c>
      <c r="E46" t="s">
        <v>252</v>
      </c>
      <c r="F46" t="s">
        <v>2248</v>
      </c>
      <c r="G46" t="s">
        <v>250</v>
      </c>
      <c r="H46" t="b">
        <v>1</v>
      </c>
      <c r="I46" t="s">
        <v>1799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3">
        <v>3845630030824</v>
      </c>
      <c r="R46">
        <v>80.900000000000006</v>
      </c>
      <c r="S46">
        <v>11.5</v>
      </c>
      <c r="T46">
        <v>48.8</v>
      </c>
      <c r="U46">
        <v>83132799</v>
      </c>
      <c r="V46" s="5">
        <f t="shared" si="0"/>
        <v>12894</v>
      </c>
      <c r="W46" s="5">
        <f t="shared" ca="1" si="1"/>
        <v>46116</v>
      </c>
      <c r="X46">
        <f t="shared" ca="1" si="2"/>
        <v>90</v>
      </c>
    </row>
    <row r="47" spans="1:24" x14ac:dyDescent="0.25">
      <c r="A47">
        <v>48</v>
      </c>
      <c r="B47" t="s">
        <v>2491</v>
      </c>
      <c r="C47" t="s">
        <v>2249</v>
      </c>
      <c r="D47" t="s">
        <v>32</v>
      </c>
      <c r="E47" t="s">
        <v>2250</v>
      </c>
      <c r="F47" t="s">
        <v>1860</v>
      </c>
      <c r="G47" t="s">
        <v>2491</v>
      </c>
      <c r="H47" t="b">
        <v>1</v>
      </c>
      <c r="I47" t="s">
        <v>1799</v>
      </c>
      <c r="J47" t="s">
        <v>259</v>
      </c>
      <c r="K47" t="s">
        <v>2216</v>
      </c>
      <c r="L47">
        <v>28500</v>
      </c>
      <c r="M47">
        <v>1958</v>
      </c>
      <c r="N47">
        <v>7</v>
      </c>
      <c r="O47">
        <v>17</v>
      </c>
      <c r="P47">
        <v>117.24</v>
      </c>
      <c r="Q47" s="3">
        <v>21427700000000</v>
      </c>
      <c r="R47">
        <v>78.5</v>
      </c>
      <c r="S47">
        <v>9.6</v>
      </c>
      <c r="T47">
        <v>36.6</v>
      </c>
      <c r="U47">
        <v>328239523</v>
      </c>
      <c r="V47" s="5">
        <f t="shared" si="0"/>
        <v>21383</v>
      </c>
      <c r="W47" s="5">
        <f t="shared" ca="1" si="1"/>
        <v>46116</v>
      </c>
      <c r="X47">
        <f t="shared" ca="1" si="2"/>
        <v>67</v>
      </c>
    </row>
    <row r="48" spans="1:24" x14ac:dyDescent="0.25">
      <c r="A48">
        <v>49</v>
      </c>
      <c r="B48" t="s">
        <v>2491</v>
      </c>
      <c r="C48" t="s">
        <v>1861</v>
      </c>
      <c r="D48" t="s">
        <v>32</v>
      </c>
      <c r="E48" t="s">
        <v>261</v>
      </c>
      <c r="F48" t="s">
        <v>2240</v>
      </c>
      <c r="G48" t="s">
        <v>2491</v>
      </c>
      <c r="H48" t="b">
        <v>1</v>
      </c>
      <c r="I48" t="s">
        <v>1799</v>
      </c>
      <c r="J48" t="s">
        <v>1862</v>
      </c>
      <c r="K48" t="s">
        <v>1828</v>
      </c>
      <c r="L48">
        <v>28100</v>
      </c>
      <c r="M48">
        <v>1938</v>
      </c>
      <c r="N48">
        <v>4</v>
      </c>
      <c r="O48">
        <v>25</v>
      </c>
      <c r="P48">
        <v>117.24</v>
      </c>
      <c r="Q48" s="3">
        <v>21427700000000</v>
      </c>
      <c r="R48">
        <v>78.5</v>
      </c>
      <c r="S48">
        <v>9.6</v>
      </c>
      <c r="T48">
        <v>36.6</v>
      </c>
      <c r="U48">
        <v>328239523</v>
      </c>
      <c r="V48" s="5">
        <f t="shared" si="0"/>
        <v>13995</v>
      </c>
      <c r="W48" s="5">
        <f t="shared" ca="1" si="1"/>
        <v>46116</v>
      </c>
      <c r="X48">
        <f t="shared" ca="1" si="2"/>
        <v>87</v>
      </c>
    </row>
    <row r="49" spans="1:24" x14ac:dyDescent="0.25">
      <c r="A49">
        <v>50</v>
      </c>
      <c r="B49" t="s">
        <v>2491</v>
      </c>
      <c r="C49" t="s">
        <v>1863</v>
      </c>
      <c r="D49" t="s">
        <v>32</v>
      </c>
      <c r="E49" t="s">
        <v>61</v>
      </c>
      <c r="F49" t="s">
        <v>1864</v>
      </c>
      <c r="G49" t="s">
        <v>2491</v>
      </c>
      <c r="H49" t="b">
        <v>1</v>
      </c>
      <c r="I49" t="s">
        <v>1799</v>
      </c>
      <c r="J49" t="s">
        <v>1865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3">
        <v>21427700000000</v>
      </c>
      <c r="R49">
        <v>78.5</v>
      </c>
      <c r="S49">
        <v>9.6</v>
      </c>
      <c r="T49">
        <v>36.6</v>
      </c>
      <c r="U49">
        <v>328239523</v>
      </c>
      <c r="V49" s="5">
        <f t="shared" si="0"/>
        <v>17212</v>
      </c>
      <c r="W49" s="5">
        <f t="shared" ca="1" si="1"/>
        <v>46116</v>
      </c>
      <c r="X49">
        <f t="shared" ca="1" si="2"/>
        <v>79</v>
      </c>
    </row>
    <row r="50" spans="1:24" x14ac:dyDescent="0.25">
      <c r="A50">
        <v>51</v>
      </c>
      <c r="B50" t="s">
        <v>1800</v>
      </c>
      <c r="C50" t="s">
        <v>267</v>
      </c>
      <c r="D50" t="s">
        <v>1837</v>
      </c>
      <c r="E50" t="s">
        <v>1866</v>
      </c>
      <c r="F50" t="s">
        <v>1867</v>
      </c>
      <c r="G50" t="s">
        <v>1800</v>
      </c>
      <c r="H50" t="b">
        <v>0</v>
      </c>
      <c r="I50" t="s">
        <v>2223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3">
        <v>3845630030824</v>
      </c>
      <c r="R50">
        <v>80.900000000000006</v>
      </c>
      <c r="S50">
        <v>11.5</v>
      </c>
      <c r="T50">
        <v>48.8</v>
      </c>
      <c r="U50">
        <v>83132799</v>
      </c>
      <c r="V50" s="5">
        <f t="shared" si="0"/>
        <v>22764</v>
      </c>
      <c r="W50" s="5">
        <f t="shared" ca="1" si="1"/>
        <v>46116</v>
      </c>
      <c r="X50">
        <f t="shared" ca="1" si="2"/>
        <v>63</v>
      </c>
    </row>
    <row r="51" spans="1:24" x14ac:dyDescent="0.25">
      <c r="A51">
        <v>52</v>
      </c>
      <c r="B51" t="s">
        <v>1868</v>
      </c>
      <c r="C51" t="s">
        <v>273</v>
      </c>
      <c r="D51" t="s">
        <v>274</v>
      </c>
      <c r="E51" t="s">
        <v>275</v>
      </c>
      <c r="F51" t="s">
        <v>1869</v>
      </c>
      <c r="G51" t="s">
        <v>1868</v>
      </c>
      <c r="H51" t="b">
        <v>0</v>
      </c>
      <c r="I51" t="s">
        <v>2223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3">
        <v>1392680589329</v>
      </c>
      <c r="R51">
        <v>82.7</v>
      </c>
      <c r="S51">
        <v>23</v>
      </c>
      <c r="T51">
        <v>47.4</v>
      </c>
      <c r="U51">
        <v>25766605</v>
      </c>
      <c r="V51" s="5">
        <f t="shared" si="0"/>
        <v>19764</v>
      </c>
      <c r="W51" s="5">
        <f t="shared" ca="1" si="1"/>
        <v>46116</v>
      </c>
      <c r="X51">
        <f t="shared" ca="1" si="2"/>
        <v>72</v>
      </c>
    </row>
    <row r="52" spans="1:24" x14ac:dyDescent="0.25">
      <c r="A52">
        <v>53</v>
      </c>
      <c r="B52" t="s">
        <v>38</v>
      </c>
      <c r="C52" t="s">
        <v>1870</v>
      </c>
      <c r="D52" t="s">
        <v>105</v>
      </c>
      <c r="E52" t="s">
        <v>106</v>
      </c>
      <c r="F52" t="s">
        <v>1871</v>
      </c>
      <c r="G52" t="s">
        <v>38</v>
      </c>
      <c r="H52" t="b">
        <v>1</v>
      </c>
      <c r="I52" t="s">
        <v>1799</v>
      </c>
      <c r="J52" t="s">
        <v>282</v>
      </c>
      <c r="K52" t="s">
        <v>1872</v>
      </c>
      <c r="L52">
        <v>26700</v>
      </c>
      <c r="M52">
        <v>1971</v>
      </c>
      <c r="N52">
        <v>10</v>
      </c>
      <c r="O52">
        <v>1</v>
      </c>
      <c r="P52">
        <v>125.08</v>
      </c>
      <c r="Q52" s="3">
        <v>19910000000000</v>
      </c>
      <c r="R52">
        <v>77</v>
      </c>
      <c r="S52">
        <v>9.4</v>
      </c>
      <c r="T52">
        <v>59.2</v>
      </c>
      <c r="U52">
        <v>1397715000</v>
      </c>
      <c r="V52" s="5">
        <f t="shared" si="0"/>
        <v>26207</v>
      </c>
      <c r="W52" s="5">
        <f t="shared" ca="1" si="1"/>
        <v>46116</v>
      </c>
      <c r="X52">
        <f t="shared" ca="1" si="2"/>
        <v>54</v>
      </c>
    </row>
    <row r="53" spans="1:24" x14ac:dyDescent="0.25">
      <c r="A53">
        <v>54</v>
      </c>
      <c r="B53" t="s">
        <v>1868</v>
      </c>
      <c r="C53" t="s">
        <v>2251</v>
      </c>
      <c r="D53" t="s">
        <v>1811</v>
      </c>
      <c r="E53" t="s">
        <v>1812</v>
      </c>
      <c r="F53" t="s">
        <v>1869</v>
      </c>
      <c r="G53" t="s">
        <v>1868</v>
      </c>
      <c r="H53" t="b">
        <v>0</v>
      </c>
      <c r="I53" t="s">
        <v>1799</v>
      </c>
      <c r="J53" t="s">
        <v>1873</v>
      </c>
      <c r="K53" t="s">
        <v>1874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3">
        <v>1258286717125</v>
      </c>
      <c r="R53">
        <v>75</v>
      </c>
      <c r="S53">
        <v>13.1</v>
      </c>
      <c r="T53">
        <v>55.1</v>
      </c>
      <c r="U53">
        <v>126014024</v>
      </c>
      <c r="V53" s="5">
        <f t="shared" si="0"/>
        <v>19658</v>
      </c>
      <c r="W53" s="5">
        <f t="shared" ca="1" si="1"/>
        <v>46116</v>
      </c>
      <c r="X53">
        <f t="shared" ca="1" si="2"/>
        <v>72</v>
      </c>
    </row>
    <row r="54" spans="1:24" x14ac:dyDescent="0.25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2252</v>
      </c>
      <c r="G54" t="s">
        <v>38</v>
      </c>
      <c r="H54" t="b">
        <v>1</v>
      </c>
      <c r="I54" t="s">
        <v>1799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3">
        <v>2611000000000</v>
      </c>
      <c r="R54">
        <v>69.400000000000006</v>
      </c>
      <c r="S54">
        <v>11.2</v>
      </c>
      <c r="T54">
        <v>49.7</v>
      </c>
      <c r="U54">
        <v>1366417754</v>
      </c>
      <c r="V54" s="5">
        <f t="shared" si="0"/>
        <v>16636</v>
      </c>
      <c r="W54" s="5">
        <f t="shared" ca="1" si="1"/>
        <v>46116</v>
      </c>
      <c r="X54">
        <f t="shared" ca="1" si="2"/>
        <v>80</v>
      </c>
    </row>
    <row r="55" spans="1:24" x14ac:dyDescent="0.25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1799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3">
        <v>1119190780753</v>
      </c>
      <c r="R55">
        <v>71.5</v>
      </c>
      <c r="S55">
        <v>10.199999999999999</v>
      </c>
      <c r="T55">
        <v>30.1</v>
      </c>
      <c r="U55">
        <v>270203917</v>
      </c>
      <c r="V55" s="5">
        <f t="shared" si="0"/>
        <v>17640</v>
      </c>
      <c r="W55" s="5">
        <f t="shared" ca="1" si="1"/>
        <v>46116</v>
      </c>
      <c r="X55">
        <f t="shared" ca="1" si="2"/>
        <v>77</v>
      </c>
    </row>
    <row r="56" spans="1:24" x14ac:dyDescent="0.25">
      <c r="A56">
        <v>57</v>
      </c>
      <c r="B56" t="s">
        <v>2491</v>
      </c>
      <c r="C56" t="s">
        <v>2253</v>
      </c>
      <c r="D56" t="s">
        <v>32</v>
      </c>
      <c r="E56" t="s">
        <v>1875</v>
      </c>
      <c r="F56" t="s">
        <v>302</v>
      </c>
      <c r="G56" t="s">
        <v>2491</v>
      </c>
      <c r="H56" t="b">
        <v>1</v>
      </c>
      <c r="I56" t="s">
        <v>1799</v>
      </c>
      <c r="J56" t="s">
        <v>2254</v>
      </c>
      <c r="K56" t="s">
        <v>1876</v>
      </c>
      <c r="L56">
        <v>25300</v>
      </c>
      <c r="M56">
        <v>1944</v>
      </c>
      <c r="N56">
        <v>9</v>
      </c>
      <c r="O56">
        <v>30</v>
      </c>
      <c r="P56">
        <v>117.24</v>
      </c>
      <c r="Q56" s="3">
        <v>21427700000000</v>
      </c>
      <c r="R56">
        <v>78.5</v>
      </c>
      <c r="S56">
        <v>9.6</v>
      </c>
      <c r="T56">
        <v>36.6</v>
      </c>
      <c r="U56">
        <v>328239523</v>
      </c>
      <c r="V56" s="5">
        <f t="shared" si="0"/>
        <v>16345</v>
      </c>
      <c r="W56" s="5">
        <f t="shared" ca="1" si="1"/>
        <v>46116</v>
      </c>
      <c r="X56">
        <f t="shared" ca="1" si="2"/>
        <v>81</v>
      </c>
    </row>
    <row r="57" spans="1:24" x14ac:dyDescent="0.25">
      <c r="A57">
        <v>58</v>
      </c>
      <c r="B57" t="s">
        <v>1868</v>
      </c>
      <c r="C57" t="s">
        <v>2255</v>
      </c>
      <c r="D57" t="s">
        <v>1877</v>
      </c>
      <c r="E57" t="s">
        <v>1878</v>
      </c>
      <c r="F57" t="s">
        <v>2256</v>
      </c>
      <c r="G57" t="s">
        <v>1868</v>
      </c>
      <c r="H57" t="b">
        <v>1</v>
      </c>
      <c r="I57" t="s">
        <v>1799</v>
      </c>
      <c r="J57" t="s">
        <v>1879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3">
        <v>421142267938</v>
      </c>
      <c r="R57">
        <v>77.8</v>
      </c>
      <c r="S57">
        <v>0.1</v>
      </c>
      <c r="T57">
        <v>15.9</v>
      </c>
      <c r="U57">
        <v>9770529</v>
      </c>
      <c r="V57" s="5">
        <f t="shared" si="0"/>
        <v>26366</v>
      </c>
      <c r="W57" s="5">
        <f t="shared" ca="1" si="1"/>
        <v>46116</v>
      </c>
      <c r="X57">
        <f t="shared" ca="1" si="2"/>
        <v>54</v>
      </c>
    </row>
    <row r="58" spans="1:24" x14ac:dyDescent="0.25">
      <c r="A58">
        <v>59</v>
      </c>
      <c r="B58" t="s">
        <v>1800</v>
      </c>
      <c r="C58" t="s">
        <v>2257</v>
      </c>
      <c r="D58" t="s">
        <v>1837</v>
      </c>
      <c r="E58" t="s">
        <v>2258</v>
      </c>
      <c r="F58" t="s">
        <v>1880</v>
      </c>
      <c r="G58" t="s">
        <v>1800</v>
      </c>
      <c r="H58" t="b">
        <v>0</v>
      </c>
      <c r="I58" t="s">
        <v>1799</v>
      </c>
      <c r="J58" t="s">
        <v>315</v>
      </c>
      <c r="K58" t="s">
        <v>2259</v>
      </c>
      <c r="L58">
        <v>24600</v>
      </c>
      <c r="M58">
        <v>1966</v>
      </c>
      <c r="N58">
        <v>5</v>
      </c>
      <c r="O58">
        <v>9</v>
      </c>
      <c r="P58">
        <v>112.85</v>
      </c>
      <c r="Q58" s="3">
        <v>3845630030824</v>
      </c>
      <c r="R58">
        <v>80.900000000000006</v>
      </c>
      <c r="S58">
        <v>11.5</v>
      </c>
      <c r="T58">
        <v>48.8</v>
      </c>
      <c r="U58">
        <v>83132799</v>
      </c>
      <c r="V58" s="5">
        <f t="shared" si="0"/>
        <v>24236</v>
      </c>
      <c r="W58" s="5">
        <f t="shared" ca="1" si="1"/>
        <v>46116</v>
      </c>
      <c r="X58">
        <f t="shared" ca="1" si="2"/>
        <v>59</v>
      </c>
    </row>
    <row r="59" spans="1:24" x14ac:dyDescent="0.25">
      <c r="A59">
        <v>60</v>
      </c>
      <c r="B59" t="s">
        <v>38</v>
      </c>
      <c r="C59" t="s">
        <v>1881</v>
      </c>
      <c r="D59" t="s">
        <v>32</v>
      </c>
      <c r="E59" t="s">
        <v>318</v>
      </c>
      <c r="F59" t="s">
        <v>1803</v>
      </c>
      <c r="G59" t="s">
        <v>38</v>
      </c>
      <c r="H59" t="b">
        <v>0</v>
      </c>
      <c r="I59" t="s">
        <v>2223</v>
      </c>
      <c r="J59" t="s">
        <v>319</v>
      </c>
      <c r="K59" t="s">
        <v>1882</v>
      </c>
      <c r="L59">
        <v>24400</v>
      </c>
      <c r="M59">
        <v>1970</v>
      </c>
      <c r="N59">
        <v>4</v>
      </c>
      <c r="O59">
        <v>7</v>
      </c>
      <c r="P59">
        <v>117.24</v>
      </c>
      <c r="Q59" s="3">
        <v>21427700000000</v>
      </c>
      <c r="R59">
        <v>78.5</v>
      </c>
      <c r="S59">
        <v>9.6</v>
      </c>
      <c r="T59">
        <v>36.6</v>
      </c>
      <c r="U59">
        <v>328239523</v>
      </c>
      <c r="V59" s="5">
        <f t="shared" si="0"/>
        <v>25665</v>
      </c>
      <c r="W59" s="5">
        <f t="shared" ca="1" si="1"/>
        <v>46116</v>
      </c>
      <c r="X59">
        <f t="shared" ca="1" si="2"/>
        <v>55</v>
      </c>
    </row>
    <row r="60" spans="1:24" x14ac:dyDescent="0.25">
      <c r="A60">
        <v>61</v>
      </c>
      <c r="B60" t="s">
        <v>2491</v>
      </c>
      <c r="C60" t="s">
        <v>321</v>
      </c>
      <c r="D60" t="s">
        <v>294</v>
      </c>
      <c r="E60" t="s">
        <v>322</v>
      </c>
      <c r="F60" t="s">
        <v>323</v>
      </c>
      <c r="G60" t="s">
        <v>2491</v>
      </c>
      <c r="H60" t="b">
        <v>0</v>
      </c>
      <c r="I60" t="s">
        <v>1799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3">
        <v>1119190780753</v>
      </c>
      <c r="R60">
        <v>71.5</v>
      </c>
      <c r="S60">
        <v>10.199999999999999</v>
      </c>
      <c r="T60">
        <v>30.1</v>
      </c>
      <c r="U60">
        <v>270203917</v>
      </c>
      <c r="V60" s="5">
        <f t="shared" si="0"/>
        <v>14977</v>
      </c>
      <c r="W60" s="5">
        <f t="shared" ca="1" si="1"/>
        <v>46116</v>
      </c>
      <c r="X60">
        <f t="shared" ca="1" si="2"/>
        <v>85</v>
      </c>
    </row>
    <row r="61" spans="1:24" x14ac:dyDescent="0.25">
      <c r="A61">
        <v>62</v>
      </c>
      <c r="B61" t="s">
        <v>1868</v>
      </c>
      <c r="C61" t="s">
        <v>1883</v>
      </c>
      <c r="D61" t="s">
        <v>327</v>
      </c>
      <c r="E61" t="s">
        <v>1884</v>
      </c>
      <c r="F61" t="s">
        <v>1885</v>
      </c>
      <c r="G61" t="s">
        <v>1868</v>
      </c>
      <c r="H61" t="b">
        <v>1</v>
      </c>
      <c r="I61" t="s">
        <v>1799</v>
      </c>
      <c r="J61" t="s">
        <v>330</v>
      </c>
      <c r="K61" t="s">
        <v>1886</v>
      </c>
      <c r="L61">
        <v>23700</v>
      </c>
      <c r="M61">
        <v>1961</v>
      </c>
      <c r="N61">
        <v>1</v>
      </c>
      <c r="O61">
        <v>3</v>
      </c>
      <c r="P61">
        <v>180.75</v>
      </c>
      <c r="Q61" s="3">
        <v>1699876578871</v>
      </c>
      <c r="R61">
        <v>72.7</v>
      </c>
      <c r="S61">
        <v>11.4</v>
      </c>
      <c r="T61">
        <v>46.2</v>
      </c>
      <c r="U61">
        <v>144373535</v>
      </c>
      <c r="V61" s="5">
        <f t="shared" si="0"/>
        <v>22284</v>
      </c>
      <c r="W61" s="5">
        <f t="shared" ca="1" si="1"/>
        <v>46116</v>
      </c>
      <c r="X61">
        <f t="shared" ca="1" si="2"/>
        <v>65</v>
      </c>
    </row>
    <row r="62" spans="1:24" x14ac:dyDescent="0.25">
      <c r="A62">
        <v>63</v>
      </c>
      <c r="B62" t="s">
        <v>38</v>
      </c>
      <c r="C62" t="s">
        <v>1887</v>
      </c>
      <c r="D62" t="s">
        <v>105</v>
      </c>
      <c r="E62" t="s">
        <v>106</v>
      </c>
      <c r="F62" t="s">
        <v>1859</v>
      </c>
      <c r="G62" t="s">
        <v>38</v>
      </c>
      <c r="H62" t="b">
        <v>1</v>
      </c>
      <c r="I62" t="s">
        <v>1799</v>
      </c>
      <c r="J62" t="s">
        <v>1847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3">
        <v>19910000000000</v>
      </c>
      <c r="R62">
        <v>77</v>
      </c>
      <c r="S62">
        <v>9.4</v>
      </c>
      <c r="T62">
        <v>59.2</v>
      </c>
      <c r="U62">
        <v>1397715000</v>
      </c>
      <c r="V62" s="5">
        <f t="shared" si="0"/>
        <v>23630</v>
      </c>
      <c r="W62" s="5">
        <f t="shared" ca="1" si="1"/>
        <v>46116</v>
      </c>
      <c r="X62">
        <f t="shared" ca="1" si="2"/>
        <v>61</v>
      </c>
    </row>
    <row r="63" spans="1:24" x14ac:dyDescent="0.25">
      <c r="A63">
        <v>64</v>
      </c>
      <c r="B63" t="s">
        <v>250</v>
      </c>
      <c r="C63" t="s">
        <v>2260</v>
      </c>
      <c r="D63" t="s">
        <v>105</v>
      </c>
      <c r="E63" t="s">
        <v>2261</v>
      </c>
      <c r="F63" t="s">
        <v>1888</v>
      </c>
      <c r="G63" t="s">
        <v>250</v>
      </c>
      <c r="H63" t="b">
        <v>1</v>
      </c>
      <c r="I63" t="s">
        <v>1799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3">
        <v>19910000000000</v>
      </c>
      <c r="R63">
        <v>77</v>
      </c>
      <c r="S63">
        <v>9.4</v>
      </c>
      <c r="T63">
        <v>59.2</v>
      </c>
      <c r="U63">
        <v>1397715000</v>
      </c>
      <c r="V63" s="5">
        <f t="shared" si="0"/>
        <v>15564</v>
      </c>
      <c r="W63" s="5">
        <f t="shared" ca="1" si="1"/>
        <v>46116</v>
      </c>
      <c r="X63">
        <f t="shared" ca="1" si="2"/>
        <v>83</v>
      </c>
    </row>
    <row r="64" spans="1:24" x14ac:dyDescent="0.25">
      <c r="A64">
        <v>65</v>
      </c>
      <c r="B64" t="s">
        <v>1868</v>
      </c>
      <c r="C64" t="s">
        <v>2262</v>
      </c>
      <c r="D64" t="s">
        <v>341</v>
      </c>
      <c r="E64" t="s">
        <v>342</v>
      </c>
      <c r="F64" t="s">
        <v>1869</v>
      </c>
      <c r="G64" t="s">
        <v>1868</v>
      </c>
      <c r="H64" t="b">
        <v>0</v>
      </c>
      <c r="I64" t="s">
        <v>2223</v>
      </c>
      <c r="J64" t="s">
        <v>2263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3">
        <v>282318159745</v>
      </c>
      <c r="R64">
        <v>80</v>
      </c>
      <c r="S64">
        <v>18.2</v>
      </c>
      <c r="T64">
        <v>34</v>
      </c>
      <c r="U64">
        <v>18952038</v>
      </c>
      <c r="V64" s="5">
        <f t="shared" si="0"/>
        <v>15707</v>
      </c>
      <c r="W64" s="5">
        <f t="shared" ca="1" si="1"/>
        <v>46116</v>
      </c>
      <c r="X64">
        <f t="shared" ca="1" si="2"/>
        <v>83</v>
      </c>
    </row>
    <row r="65" spans="1:24" x14ac:dyDescent="0.25">
      <c r="A65">
        <v>65</v>
      </c>
      <c r="B65" t="s">
        <v>250</v>
      </c>
      <c r="C65" t="s">
        <v>1889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1799</v>
      </c>
      <c r="J65" t="s">
        <v>324</v>
      </c>
      <c r="K65" t="s">
        <v>1809</v>
      </c>
      <c r="L65">
        <v>23100</v>
      </c>
      <c r="M65">
        <v>1939</v>
      </c>
      <c r="N65">
        <v>10</v>
      </c>
      <c r="O65">
        <v>2</v>
      </c>
      <c r="P65">
        <v>151.18</v>
      </c>
      <c r="Q65" s="3">
        <v>1119190780753</v>
      </c>
      <c r="R65">
        <v>71.5</v>
      </c>
      <c r="S65">
        <v>10.199999999999999</v>
      </c>
      <c r="T65">
        <v>30.1</v>
      </c>
      <c r="U65">
        <v>270203917</v>
      </c>
      <c r="V65" s="5">
        <f t="shared" si="0"/>
        <v>14520</v>
      </c>
      <c r="W65" s="5">
        <f t="shared" ca="1" si="1"/>
        <v>46116</v>
      </c>
      <c r="X65">
        <f t="shared" ca="1" si="2"/>
        <v>86</v>
      </c>
    </row>
    <row r="66" spans="1:24" x14ac:dyDescent="0.25">
      <c r="A66">
        <v>67</v>
      </c>
      <c r="B66" t="s">
        <v>250</v>
      </c>
      <c r="C66" t="s">
        <v>2264</v>
      </c>
      <c r="D66" t="s">
        <v>1853</v>
      </c>
      <c r="E66" t="s">
        <v>227</v>
      </c>
      <c r="F66" t="s">
        <v>1890</v>
      </c>
      <c r="G66" t="s">
        <v>250</v>
      </c>
      <c r="H66" t="b">
        <v>1</v>
      </c>
      <c r="I66" t="s">
        <v>1799</v>
      </c>
      <c r="J66" t="s">
        <v>2265</v>
      </c>
      <c r="K66" t="s">
        <v>1891</v>
      </c>
      <c r="L66">
        <v>22900</v>
      </c>
      <c r="M66">
        <v>1953</v>
      </c>
      <c r="N66">
        <v>1</v>
      </c>
      <c r="O66">
        <v>1</v>
      </c>
      <c r="P66">
        <v>119.62</v>
      </c>
      <c r="Q66" s="3">
        <v>2827113184696</v>
      </c>
      <c r="R66">
        <v>81.3</v>
      </c>
      <c r="S66">
        <v>25.5</v>
      </c>
      <c r="T66">
        <v>30.6</v>
      </c>
      <c r="U66">
        <v>66834405</v>
      </c>
      <c r="V66" s="5">
        <f t="shared" si="0"/>
        <v>19360</v>
      </c>
      <c r="W66" s="5">
        <f t="shared" ca="1" si="1"/>
        <v>46116</v>
      </c>
      <c r="X66">
        <f t="shared" ca="1" si="2"/>
        <v>73</v>
      </c>
    </row>
    <row r="67" spans="1:24" x14ac:dyDescent="0.25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1799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3">
        <v>2611000000000</v>
      </c>
      <c r="R67">
        <v>69.400000000000006</v>
      </c>
      <c r="S67">
        <v>11.2</v>
      </c>
      <c r="T67">
        <v>49.7</v>
      </c>
      <c r="U67">
        <v>1366417754</v>
      </c>
      <c r="V67" s="5">
        <f t="shared" ref="V67:V130" si="3">DATE(M67, N67, O67 )</f>
        <v>15107</v>
      </c>
      <c r="W67" s="5">
        <f t="shared" ref="W67:W130" ca="1" si="4">TODAY()</f>
        <v>46116</v>
      </c>
      <c r="X67">
        <f t="shared" ref="X67:X130" ca="1" si="5">INT(YEARFRAC(V67, W67))</f>
        <v>84</v>
      </c>
    </row>
    <row r="68" spans="1:24" x14ac:dyDescent="0.25">
      <c r="A68">
        <v>69</v>
      </c>
      <c r="B68" t="s">
        <v>1810</v>
      </c>
      <c r="C68" t="s">
        <v>1892</v>
      </c>
      <c r="D68" t="s">
        <v>219</v>
      </c>
      <c r="E68" t="s">
        <v>220</v>
      </c>
      <c r="F68" t="s">
        <v>1893</v>
      </c>
      <c r="G68" t="s">
        <v>1810</v>
      </c>
      <c r="H68" t="b">
        <v>1</v>
      </c>
      <c r="I68" t="s">
        <v>1799</v>
      </c>
      <c r="J68" t="s">
        <v>359</v>
      </c>
      <c r="K68" t="s">
        <v>1894</v>
      </c>
      <c r="L68">
        <v>22400</v>
      </c>
      <c r="M68">
        <v>1957</v>
      </c>
      <c r="N68">
        <v>8</v>
      </c>
      <c r="O68">
        <v>11</v>
      </c>
      <c r="P68">
        <v>105.48</v>
      </c>
      <c r="Q68" s="3">
        <v>5081769542380</v>
      </c>
      <c r="R68">
        <v>84.2</v>
      </c>
      <c r="S68">
        <v>11.9</v>
      </c>
      <c r="T68">
        <v>46.7</v>
      </c>
      <c r="U68">
        <v>126226568</v>
      </c>
      <c r="V68" s="5">
        <f t="shared" si="3"/>
        <v>21043</v>
      </c>
      <c r="W68" s="5">
        <f t="shared" ca="1" si="4"/>
        <v>46116</v>
      </c>
      <c r="X68">
        <f t="shared" ca="1" si="5"/>
        <v>68</v>
      </c>
    </row>
    <row r="69" spans="1:24" x14ac:dyDescent="0.25">
      <c r="A69">
        <v>70</v>
      </c>
      <c r="B69" t="s">
        <v>1868</v>
      </c>
      <c r="C69" t="s">
        <v>1895</v>
      </c>
      <c r="D69" t="s">
        <v>327</v>
      </c>
      <c r="E69" t="s">
        <v>1884</v>
      </c>
      <c r="F69" t="s">
        <v>362</v>
      </c>
      <c r="G69" t="s">
        <v>1868</v>
      </c>
      <c r="H69" t="b">
        <v>1</v>
      </c>
      <c r="I69" t="s">
        <v>1799</v>
      </c>
      <c r="J69" t="s">
        <v>363</v>
      </c>
      <c r="K69" t="s">
        <v>1886</v>
      </c>
      <c r="L69">
        <v>22100</v>
      </c>
      <c r="M69">
        <v>1956</v>
      </c>
      <c r="N69">
        <v>5</v>
      </c>
      <c r="O69">
        <v>7</v>
      </c>
      <c r="P69">
        <v>180.75</v>
      </c>
      <c r="Q69" s="3">
        <v>1699876578871</v>
      </c>
      <c r="R69">
        <v>72.7</v>
      </c>
      <c r="S69">
        <v>11.4</v>
      </c>
      <c r="T69">
        <v>46.2</v>
      </c>
      <c r="U69">
        <v>144373535</v>
      </c>
      <c r="V69" s="5">
        <f t="shared" si="3"/>
        <v>20582</v>
      </c>
      <c r="W69" s="5">
        <f t="shared" ca="1" si="4"/>
        <v>46116</v>
      </c>
      <c r="X69">
        <f t="shared" ca="1" si="5"/>
        <v>69</v>
      </c>
    </row>
    <row r="70" spans="1:24" x14ac:dyDescent="0.25">
      <c r="A70">
        <v>71</v>
      </c>
      <c r="B70" t="s">
        <v>103</v>
      </c>
      <c r="C70" t="s">
        <v>1896</v>
      </c>
      <c r="D70" t="s">
        <v>2214</v>
      </c>
      <c r="E70" t="s">
        <v>365</v>
      </c>
      <c r="F70" t="s">
        <v>366</v>
      </c>
      <c r="G70" t="s">
        <v>103</v>
      </c>
      <c r="H70" t="b">
        <v>0</v>
      </c>
      <c r="I70" t="s">
        <v>1799</v>
      </c>
      <c r="J70" t="s">
        <v>367</v>
      </c>
      <c r="K70" t="s">
        <v>1897</v>
      </c>
      <c r="L70">
        <v>22000</v>
      </c>
      <c r="M70">
        <v>1970</v>
      </c>
      <c r="N70">
        <v>9</v>
      </c>
      <c r="O70">
        <v>18</v>
      </c>
      <c r="P70">
        <v>110.05</v>
      </c>
      <c r="Q70" s="3">
        <v>2715518274227</v>
      </c>
      <c r="R70">
        <v>82.5</v>
      </c>
      <c r="S70">
        <v>24.2</v>
      </c>
      <c r="T70">
        <v>60.7</v>
      </c>
      <c r="U70">
        <v>67059887</v>
      </c>
      <c r="V70" s="5">
        <f t="shared" si="3"/>
        <v>25829</v>
      </c>
      <c r="W70" s="5">
        <f t="shared" ca="1" si="4"/>
        <v>46116</v>
      </c>
      <c r="X70">
        <f t="shared" ca="1" si="5"/>
        <v>55</v>
      </c>
    </row>
    <row r="71" spans="1:24" x14ac:dyDescent="0.25">
      <c r="A71">
        <v>72</v>
      </c>
      <c r="B71" t="s">
        <v>2491</v>
      </c>
      <c r="C71" t="s">
        <v>369</v>
      </c>
      <c r="D71" t="s">
        <v>32</v>
      </c>
      <c r="E71" t="s">
        <v>1898</v>
      </c>
      <c r="F71" t="s">
        <v>2266</v>
      </c>
      <c r="G71" t="s">
        <v>2491</v>
      </c>
      <c r="H71" t="b">
        <v>0</v>
      </c>
      <c r="I71" t="s">
        <v>2223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3">
        <v>21427700000000</v>
      </c>
      <c r="R71">
        <v>78.5</v>
      </c>
      <c r="S71">
        <v>9.6</v>
      </c>
      <c r="T71">
        <v>36.6</v>
      </c>
      <c r="U71">
        <v>328239523</v>
      </c>
      <c r="V71" s="5">
        <f t="shared" si="3"/>
        <v>22634</v>
      </c>
      <c r="W71" s="5">
        <f t="shared" ca="1" si="4"/>
        <v>46116</v>
      </c>
      <c r="X71">
        <f t="shared" ca="1" si="5"/>
        <v>64</v>
      </c>
    </row>
    <row r="72" spans="1:24" x14ac:dyDescent="0.25">
      <c r="A72">
        <v>72</v>
      </c>
      <c r="B72" t="s">
        <v>292</v>
      </c>
      <c r="C72" t="s">
        <v>2267</v>
      </c>
      <c r="D72" t="s">
        <v>327</v>
      </c>
      <c r="E72" t="s">
        <v>1884</v>
      </c>
      <c r="F72" t="s">
        <v>1899</v>
      </c>
      <c r="G72" t="s">
        <v>292</v>
      </c>
      <c r="H72" t="b">
        <v>1</v>
      </c>
      <c r="I72" t="s">
        <v>1799</v>
      </c>
      <c r="J72" t="s">
        <v>1900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3">
        <v>1699876578871</v>
      </c>
      <c r="R72">
        <v>72.7</v>
      </c>
      <c r="S72">
        <v>11.4</v>
      </c>
      <c r="T72">
        <v>46.2</v>
      </c>
      <c r="U72">
        <v>144373535</v>
      </c>
      <c r="V72" s="5">
        <f t="shared" si="3"/>
        <v>20312</v>
      </c>
      <c r="W72" s="5">
        <f t="shared" ca="1" si="4"/>
        <v>46116</v>
      </c>
      <c r="X72">
        <f t="shared" ca="1" si="5"/>
        <v>70</v>
      </c>
    </row>
    <row r="73" spans="1:24" x14ac:dyDescent="0.25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1827</v>
      </c>
      <c r="G73" t="s">
        <v>21</v>
      </c>
      <c r="H73" t="b">
        <v>0</v>
      </c>
      <c r="I73" t="s">
        <v>1799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3">
        <v>21427700000000</v>
      </c>
      <c r="R73">
        <v>78.5</v>
      </c>
      <c r="S73">
        <v>9.6</v>
      </c>
      <c r="T73">
        <v>36.6</v>
      </c>
      <c r="U73">
        <v>328239523</v>
      </c>
      <c r="V73" s="5">
        <f t="shared" si="3"/>
        <v>31674</v>
      </c>
      <c r="W73" s="5">
        <f t="shared" ca="1" si="4"/>
        <v>46116</v>
      </c>
      <c r="X73">
        <f t="shared" ca="1" si="5"/>
        <v>39</v>
      </c>
    </row>
    <row r="74" spans="1:24" x14ac:dyDescent="0.25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1799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3">
        <v>19910000000000</v>
      </c>
      <c r="R74">
        <v>77</v>
      </c>
      <c r="S74">
        <v>9.4</v>
      </c>
      <c r="T74">
        <v>59.2</v>
      </c>
      <c r="U74">
        <v>1397715000</v>
      </c>
      <c r="V74" s="5">
        <f t="shared" si="3"/>
        <v>25842</v>
      </c>
      <c r="W74" s="5">
        <f t="shared" ca="1" si="4"/>
        <v>46116</v>
      </c>
      <c r="X74">
        <f t="shared" ca="1" si="5"/>
        <v>55</v>
      </c>
    </row>
    <row r="75" spans="1:24" x14ac:dyDescent="0.25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1901</v>
      </c>
      <c r="G75" t="s">
        <v>38</v>
      </c>
      <c r="H75" t="b">
        <v>1</v>
      </c>
      <c r="I75" t="s">
        <v>1799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3">
        <v>21427700000000</v>
      </c>
      <c r="R75">
        <v>78.5</v>
      </c>
      <c r="S75">
        <v>9.6</v>
      </c>
      <c r="T75">
        <v>36.6</v>
      </c>
      <c r="U75">
        <v>328239523</v>
      </c>
      <c r="V75" s="5">
        <f t="shared" si="3"/>
        <v>23059</v>
      </c>
      <c r="W75" s="5">
        <f t="shared" ca="1" si="4"/>
        <v>46116</v>
      </c>
      <c r="X75">
        <f t="shared" ca="1" si="5"/>
        <v>63</v>
      </c>
    </row>
    <row r="76" spans="1:24" x14ac:dyDescent="0.25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1799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3">
        <v>21427700000000</v>
      </c>
      <c r="R76">
        <v>78.5</v>
      </c>
      <c r="S76">
        <v>9.6</v>
      </c>
      <c r="T76">
        <v>36.6</v>
      </c>
      <c r="U76">
        <v>328239523</v>
      </c>
      <c r="V76" s="5">
        <f t="shared" si="3"/>
        <v>12132</v>
      </c>
      <c r="W76" s="5">
        <f t="shared" ca="1" si="4"/>
        <v>46116</v>
      </c>
      <c r="X76">
        <f t="shared" ca="1" si="5"/>
        <v>93</v>
      </c>
    </row>
    <row r="77" spans="1:24" x14ac:dyDescent="0.25">
      <c r="A77">
        <v>77</v>
      </c>
      <c r="B77" t="s">
        <v>250</v>
      </c>
      <c r="C77" t="s">
        <v>1902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1799</v>
      </c>
      <c r="J77" t="s">
        <v>396</v>
      </c>
      <c r="K77" t="s">
        <v>1903</v>
      </c>
      <c r="L77">
        <v>21000</v>
      </c>
      <c r="M77">
        <v>1945</v>
      </c>
      <c r="N77">
        <v>6</v>
      </c>
      <c r="O77">
        <v>10</v>
      </c>
      <c r="P77">
        <v>105.48</v>
      </c>
      <c r="Q77" s="3">
        <v>5081769542380</v>
      </c>
      <c r="R77">
        <v>84.2</v>
      </c>
      <c r="S77">
        <v>11.9</v>
      </c>
      <c r="T77">
        <v>46.7</v>
      </c>
      <c r="U77">
        <v>126226568</v>
      </c>
      <c r="V77" s="5">
        <f t="shared" si="3"/>
        <v>16598</v>
      </c>
      <c r="W77" s="5">
        <f t="shared" ca="1" si="4"/>
        <v>46116</v>
      </c>
      <c r="X77">
        <f t="shared" ca="1" si="5"/>
        <v>80</v>
      </c>
    </row>
    <row r="78" spans="1:24" x14ac:dyDescent="0.25">
      <c r="A78">
        <v>79</v>
      </c>
      <c r="B78" t="s">
        <v>1868</v>
      </c>
      <c r="C78" t="s">
        <v>2268</v>
      </c>
      <c r="D78" t="s">
        <v>327</v>
      </c>
      <c r="E78" t="s">
        <v>1884</v>
      </c>
      <c r="F78" t="s">
        <v>1904</v>
      </c>
      <c r="G78" t="s">
        <v>1868</v>
      </c>
      <c r="H78" t="b">
        <v>1</v>
      </c>
      <c r="I78" t="s">
        <v>1799</v>
      </c>
      <c r="J78" t="s">
        <v>1905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3">
        <v>1699876578871</v>
      </c>
      <c r="R78">
        <v>72.7</v>
      </c>
      <c r="S78">
        <v>11.4</v>
      </c>
      <c r="T78">
        <v>46.2</v>
      </c>
      <c r="U78">
        <v>144373535</v>
      </c>
      <c r="V78" s="5">
        <f t="shared" si="3"/>
        <v>24011</v>
      </c>
      <c r="W78" s="5">
        <f t="shared" ca="1" si="4"/>
        <v>46116</v>
      </c>
      <c r="X78">
        <f t="shared" ca="1" si="5"/>
        <v>60</v>
      </c>
    </row>
    <row r="79" spans="1:24" x14ac:dyDescent="0.25">
      <c r="A79">
        <v>80</v>
      </c>
      <c r="B79" t="s">
        <v>292</v>
      </c>
      <c r="C79" t="s">
        <v>402</v>
      </c>
      <c r="D79" t="s">
        <v>327</v>
      </c>
      <c r="E79" t="s">
        <v>1884</v>
      </c>
      <c r="F79" t="s">
        <v>403</v>
      </c>
      <c r="G79" t="s">
        <v>292</v>
      </c>
      <c r="H79" t="b">
        <v>1</v>
      </c>
      <c r="I79" t="s">
        <v>1799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3">
        <v>1699876578871</v>
      </c>
      <c r="R79">
        <v>72.7</v>
      </c>
      <c r="S79">
        <v>11.4</v>
      </c>
      <c r="T79">
        <v>46.2</v>
      </c>
      <c r="U79">
        <v>144373535</v>
      </c>
      <c r="V79" s="5">
        <f t="shared" si="3"/>
        <v>18507</v>
      </c>
      <c r="W79" s="5">
        <f t="shared" ca="1" si="4"/>
        <v>46116</v>
      </c>
      <c r="X79">
        <f t="shared" ca="1" si="5"/>
        <v>75</v>
      </c>
    </row>
    <row r="80" spans="1:24" x14ac:dyDescent="0.25">
      <c r="A80">
        <v>81</v>
      </c>
      <c r="B80" t="s">
        <v>351</v>
      </c>
      <c r="C80" t="s">
        <v>2269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1799</v>
      </c>
      <c r="J80" t="s">
        <v>2270</v>
      </c>
      <c r="K80" t="s">
        <v>1876</v>
      </c>
      <c r="L80">
        <v>20200</v>
      </c>
      <c r="M80">
        <v>1938</v>
      </c>
      <c r="N80">
        <v>8</v>
      </c>
      <c r="O80">
        <v>12</v>
      </c>
      <c r="P80">
        <v>117.24</v>
      </c>
      <c r="Q80" s="3">
        <v>21427700000000</v>
      </c>
      <c r="R80">
        <v>78.5</v>
      </c>
      <c r="S80">
        <v>9.6</v>
      </c>
      <c r="T80">
        <v>36.6</v>
      </c>
      <c r="U80">
        <v>328239523</v>
      </c>
      <c r="V80" s="5">
        <f t="shared" si="3"/>
        <v>14104</v>
      </c>
      <c r="W80" s="5">
        <f t="shared" ca="1" si="4"/>
        <v>46116</v>
      </c>
      <c r="X80">
        <f t="shared" ca="1" si="5"/>
        <v>87</v>
      </c>
    </row>
    <row r="81" spans="1:24" x14ac:dyDescent="0.25">
      <c r="A81">
        <v>82</v>
      </c>
      <c r="B81" t="s">
        <v>1868</v>
      </c>
      <c r="C81" t="s">
        <v>2271</v>
      </c>
      <c r="D81" t="s">
        <v>274</v>
      </c>
      <c r="E81" t="s">
        <v>275</v>
      </c>
      <c r="F81" t="s">
        <v>1869</v>
      </c>
      <c r="G81" t="s">
        <v>1868</v>
      </c>
      <c r="H81" t="b">
        <v>1</v>
      </c>
      <c r="I81" t="s">
        <v>1799</v>
      </c>
      <c r="J81" t="s">
        <v>2272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3">
        <v>1392680589329</v>
      </c>
      <c r="R81">
        <v>82.7</v>
      </c>
      <c r="S81">
        <v>23</v>
      </c>
      <c r="T81">
        <v>47.4</v>
      </c>
      <c r="U81">
        <v>25766605</v>
      </c>
      <c r="V81" s="5">
        <f t="shared" si="3"/>
        <v>22603</v>
      </c>
      <c r="W81" s="5">
        <f t="shared" ca="1" si="4"/>
        <v>46116</v>
      </c>
      <c r="X81">
        <f t="shared" ca="1" si="5"/>
        <v>64</v>
      </c>
    </row>
    <row r="82" spans="1:24" x14ac:dyDescent="0.25">
      <c r="A82">
        <v>83</v>
      </c>
      <c r="B82" t="s">
        <v>2491</v>
      </c>
      <c r="C82" t="s">
        <v>413</v>
      </c>
      <c r="D82" t="s">
        <v>32</v>
      </c>
      <c r="E82" t="s">
        <v>414</v>
      </c>
      <c r="F82" t="s">
        <v>2240</v>
      </c>
      <c r="G82" t="s">
        <v>2491</v>
      </c>
      <c r="H82" t="b">
        <v>1</v>
      </c>
      <c r="I82" t="s">
        <v>1799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3">
        <v>21427700000000</v>
      </c>
      <c r="R82">
        <v>78.5</v>
      </c>
      <c r="S82">
        <v>9.6</v>
      </c>
      <c r="T82">
        <v>36.6</v>
      </c>
      <c r="U82">
        <v>328239523</v>
      </c>
      <c r="V82" s="5">
        <f t="shared" si="3"/>
        <v>18118</v>
      </c>
      <c r="W82" s="5">
        <f t="shared" ca="1" si="4"/>
        <v>46116</v>
      </c>
      <c r="X82">
        <f t="shared" ca="1" si="5"/>
        <v>76</v>
      </c>
    </row>
    <row r="83" spans="1:24" x14ac:dyDescent="0.25">
      <c r="A83">
        <v>84</v>
      </c>
      <c r="B83" t="s">
        <v>1800</v>
      </c>
      <c r="C83" t="s">
        <v>417</v>
      </c>
      <c r="D83" t="s">
        <v>105</v>
      </c>
      <c r="E83" t="s">
        <v>106</v>
      </c>
      <c r="F83" t="s">
        <v>1906</v>
      </c>
      <c r="G83" t="s">
        <v>1800</v>
      </c>
      <c r="H83" t="b">
        <v>1</v>
      </c>
      <c r="I83" t="s">
        <v>1799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3">
        <v>19910000000000</v>
      </c>
      <c r="R83">
        <v>77</v>
      </c>
      <c r="S83">
        <v>9.4</v>
      </c>
      <c r="T83">
        <v>59.2</v>
      </c>
      <c r="U83">
        <v>1397715000</v>
      </c>
      <c r="V83" s="5">
        <f t="shared" si="3"/>
        <v>23163</v>
      </c>
      <c r="W83" s="5">
        <f t="shared" ca="1" si="4"/>
        <v>46116</v>
      </c>
      <c r="X83">
        <f t="shared" ca="1" si="5"/>
        <v>62</v>
      </c>
    </row>
    <row r="84" spans="1:24" x14ac:dyDescent="0.25">
      <c r="A84">
        <v>84</v>
      </c>
      <c r="B84" t="s">
        <v>1868</v>
      </c>
      <c r="C84" t="s">
        <v>421</v>
      </c>
      <c r="D84" t="s">
        <v>105</v>
      </c>
      <c r="E84" t="s">
        <v>192</v>
      </c>
      <c r="F84" t="s">
        <v>1907</v>
      </c>
      <c r="G84" t="s">
        <v>1868</v>
      </c>
      <c r="H84" t="b">
        <v>1</v>
      </c>
      <c r="I84" t="s">
        <v>1799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3">
        <v>19910000000000</v>
      </c>
      <c r="R84">
        <v>77</v>
      </c>
      <c r="S84">
        <v>9.4</v>
      </c>
      <c r="T84">
        <v>59.2</v>
      </c>
      <c r="U84">
        <v>1397715000</v>
      </c>
      <c r="V84" s="5">
        <f t="shared" si="3"/>
        <v>24898</v>
      </c>
      <c r="W84" s="5">
        <f t="shared" ca="1" si="4"/>
        <v>46116</v>
      </c>
      <c r="X84">
        <f t="shared" ca="1" si="5"/>
        <v>58</v>
      </c>
    </row>
    <row r="85" spans="1:24" x14ac:dyDescent="0.25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1799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3">
        <v>19910000000000</v>
      </c>
      <c r="R85">
        <v>77</v>
      </c>
      <c r="S85">
        <v>9.4</v>
      </c>
      <c r="T85">
        <v>59.2</v>
      </c>
      <c r="U85">
        <v>1397715000</v>
      </c>
      <c r="V85" s="5">
        <f t="shared" si="3"/>
        <v>23849</v>
      </c>
      <c r="W85" s="5">
        <f t="shared" ca="1" si="4"/>
        <v>46116</v>
      </c>
      <c r="X85">
        <f t="shared" ca="1" si="5"/>
        <v>60</v>
      </c>
    </row>
    <row r="86" spans="1:24" x14ac:dyDescent="0.25">
      <c r="A86">
        <v>88</v>
      </c>
      <c r="B86" t="s">
        <v>1800</v>
      </c>
      <c r="C86" t="s">
        <v>2273</v>
      </c>
      <c r="D86" t="s">
        <v>105</v>
      </c>
      <c r="E86" t="s">
        <v>192</v>
      </c>
      <c r="F86" t="s">
        <v>1908</v>
      </c>
      <c r="G86" t="s">
        <v>1800</v>
      </c>
      <c r="H86" t="b">
        <v>1</v>
      </c>
      <c r="I86" t="s">
        <v>1799</v>
      </c>
      <c r="J86" t="s">
        <v>384</v>
      </c>
      <c r="K86" t="s">
        <v>2274</v>
      </c>
      <c r="L86">
        <v>18700</v>
      </c>
      <c r="M86">
        <v>1966</v>
      </c>
      <c r="N86">
        <v>2</v>
      </c>
      <c r="O86">
        <v>15</v>
      </c>
      <c r="P86">
        <v>125.08</v>
      </c>
      <c r="Q86" s="3">
        <v>19910000000000</v>
      </c>
      <c r="R86">
        <v>77</v>
      </c>
      <c r="S86">
        <v>9.4</v>
      </c>
      <c r="T86">
        <v>59.2</v>
      </c>
      <c r="U86">
        <v>1397715000</v>
      </c>
      <c r="V86" s="5">
        <f t="shared" si="3"/>
        <v>24153</v>
      </c>
      <c r="W86" s="5">
        <f t="shared" ca="1" si="4"/>
        <v>46116</v>
      </c>
      <c r="X86">
        <f t="shared" ca="1" si="5"/>
        <v>60</v>
      </c>
    </row>
    <row r="87" spans="1:24" x14ac:dyDescent="0.25">
      <c r="A87">
        <v>89</v>
      </c>
      <c r="B87" t="s">
        <v>292</v>
      </c>
      <c r="C87" t="s">
        <v>2275</v>
      </c>
      <c r="D87" t="s">
        <v>32</v>
      </c>
      <c r="E87" t="s">
        <v>1909</v>
      </c>
      <c r="F87" t="s">
        <v>434</v>
      </c>
      <c r="G87" t="s">
        <v>292</v>
      </c>
      <c r="H87" t="b">
        <v>1</v>
      </c>
      <c r="I87" t="s">
        <v>1799</v>
      </c>
      <c r="J87" t="s">
        <v>1910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3">
        <v>21427700000000</v>
      </c>
      <c r="R87">
        <v>78.5</v>
      </c>
      <c r="S87">
        <v>9.6</v>
      </c>
      <c r="T87">
        <v>36.6</v>
      </c>
      <c r="U87">
        <v>328239523</v>
      </c>
      <c r="V87" s="5">
        <f t="shared" si="3"/>
        <v>16782</v>
      </c>
      <c r="W87" s="5">
        <f t="shared" ca="1" si="4"/>
        <v>46116</v>
      </c>
      <c r="X87">
        <f t="shared" ca="1" si="5"/>
        <v>80</v>
      </c>
    </row>
    <row r="88" spans="1:24" x14ac:dyDescent="0.25">
      <c r="A88">
        <v>89</v>
      </c>
      <c r="B88" t="s">
        <v>2491</v>
      </c>
      <c r="C88" t="s">
        <v>437</v>
      </c>
      <c r="D88" t="s">
        <v>32</v>
      </c>
      <c r="E88" t="s">
        <v>1875</v>
      </c>
      <c r="F88" t="s">
        <v>2240</v>
      </c>
      <c r="G88" t="s">
        <v>2491</v>
      </c>
      <c r="H88" t="b">
        <v>1</v>
      </c>
      <c r="I88" t="s">
        <v>1799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3">
        <v>21427700000000</v>
      </c>
      <c r="R88">
        <v>78.5</v>
      </c>
      <c r="S88">
        <v>9.6</v>
      </c>
      <c r="T88">
        <v>36.6</v>
      </c>
      <c r="U88">
        <v>328239523</v>
      </c>
      <c r="V88" s="5">
        <f t="shared" si="3"/>
        <v>21074</v>
      </c>
      <c r="W88" s="5">
        <f t="shared" ca="1" si="4"/>
        <v>46116</v>
      </c>
      <c r="X88">
        <f t="shared" ca="1" si="5"/>
        <v>68</v>
      </c>
    </row>
    <row r="89" spans="1:24" x14ac:dyDescent="0.25">
      <c r="A89">
        <v>89</v>
      </c>
      <c r="B89" t="s">
        <v>292</v>
      </c>
      <c r="C89" t="s">
        <v>1911</v>
      </c>
      <c r="D89" t="s">
        <v>327</v>
      </c>
      <c r="E89" t="s">
        <v>1884</v>
      </c>
      <c r="F89" t="s">
        <v>440</v>
      </c>
      <c r="G89" t="s">
        <v>292</v>
      </c>
      <c r="H89" t="b">
        <v>1</v>
      </c>
      <c r="I89" t="s">
        <v>1799</v>
      </c>
      <c r="J89" t="s">
        <v>1912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3">
        <v>1699876578871</v>
      </c>
      <c r="R89">
        <v>72.7</v>
      </c>
      <c r="S89">
        <v>11.4</v>
      </c>
      <c r="T89">
        <v>46.2</v>
      </c>
      <c r="U89">
        <v>144373535</v>
      </c>
      <c r="V89" s="5">
        <f t="shared" si="3"/>
        <v>19307</v>
      </c>
      <c r="W89" s="5">
        <f t="shared" ca="1" si="4"/>
        <v>46116</v>
      </c>
      <c r="X89">
        <f t="shared" ca="1" si="5"/>
        <v>73</v>
      </c>
    </row>
    <row r="90" spans="1:24" x14ac:dyDescent="0.25">
      <c r="A90">
        <v>92</v>
      </c>
      <c r="B90" t="s">
        <v>2491</v>
      </c>
      <c r="C90" t="s">
        <v>443</v>
      </c>
      <c r="D90" t="s">
        <v>32</v>
      </c>
      <c r="E90" t="s">
        <v>2276</v>
      </c>
      <c r="F90" t="s">
        <v>445</v>
      </c>
      <c r="G90" t="s">
        <v>2491</v>
      </c>
      <c r="H90" t="b">
        <v>1</v>
      </c>
      <c r="I90" t="s">
        <v>1799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3">
        <v>21427700000000</v>
      </c>
      <c r="R90">
        <v>78.5</v>
      </c>
      <c r="S90">
        <v>9.6</v>
      </c>
      <c r="T90">
        <v>36.6</v>
      </c>
      <c r="U90">
        <v>328239523</v>
      </c>
      <c r="V90" s="5">
        <f t="shared" si="3"/>
        <v>22663</v>
      </c>
      <c r="W90" s="5">
        <f t="shared" ca="1" si="4"/>
        <v>46116</v>
      </c>
      <c r="X90">
        <f t="shared" ca="1" si="5"/>
        <v>64</v>
      </c>
    </row>
    <row r="91" spans="1:24" x14ac:dyDescent="0.25">
      <c r="A91">
        <v>93</v>
      </c>
      <c r="B91" t="s">
        <v>1868</v>
      </c>
      <c r="C91" t="s">
        <v>1913</v>
      </c>
      <c r="D91" t="s">
        <v>1853</v>
      </c>
      <c r="E91" t="s">
        <v>227</v>
      </c>
      <c r="F91" t="s">
        <v>449</v>
      </c>
      <c r="G91" t="s">
        <v>1868</v>
      </c>
      <c r="H91" t="b">
        <v>0</v>
      </c>
      <c r="I91" t="s">
        <v>1799</v>
      </c>
      <c r="J91" t="s">
        <v>1914</v>
      </c>
      <c r="K91" t="s">
        <v>1915</v>
      </c>
      <c r="L91">
        <v>17700</v>
      </c>
      <c r="M91">
        <v>1950</v>
      </c>
      <c r="N91">
        <v>6</v>
      </c>
      <c r="O91">
        <v>15</v>
      </c>
      <c r="P91">
        <v>119.62</v>
      </c>
      <c r="Q91" s="3">
        <v>2827113184696</v>
      </c>
      <c r="R91">
        <v>81.3</v>
      </c>
      <c r="S91">
        <v>25.5</v>
      </c>
      <c r="T91">
        <v>30.6</v>
      </c>
      <c r="U91">
        <v>66834405</v>
      </c>
      <c r="V91" s="5">
        <f t="shared" si="3"/>
        <v>18429</v>
      </c>
      <c r="W91" s="5">
        <f t="shared" ca="1" si="4"/>
        <v>46116</v>
      </c>
      <c r="X91">
        <f t="shared" ca="1" si="5"/>
        <v>75</v>
      </c>
    </row>
    <row r="92" spans="1:24" x14ac:dyDescent="0.25">
      <c r="A92">
        <v>94</v>
      </c>
      <c r="B92" t="s">
        <v>2491</v>
      </c>
      <c r="C92" t="s">
        <v>452</v>
      </c>
      <c r="D92" t="s">
        <v>32</v>
      </c>
      <c r="E92" t="s">
        <v>414</v>
      </c>
      <c r="F92" t="s">
        <v>2240</v>
      </c>
      <c r="G92" t="s">
        <v>2491</v>
      </c>
      <c r="H92" t="b">
        <v>1</v>
      </c>
      <c r="I92" t="s">
        <v>1799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3">
        <v>21427700000000</v>
      </c>
      <c r="R92">
        <v>78.5</v>
      </c>
      <c r="S92">
        <v>9.6</v>
      </c>
      <c r="T92">
        <v>36.6</v>
      </c>
      <c r="U92">
        <v>328239523</v>
      </c>
      <c r="V92" s="5">
        <f t="shared" si="3"/>
        <v>20617</v>
      </c>
      <c r="W92" s="5">
        <f t="shared" ca="1" si="4"/>
        <v>46116</v>
      </c>
      <c r="X92">
        <f t="shared" ca="1" si="5"/>
        <v>69</v>
      </c>
    </row>
    <row r="93" spans="1:24" x14ac:dyDescent="0.25">
      <c r="A93">
        <v>94</v>
      </c>
      <c r="B93" t="s">
        <v>2491</v>
      </c>
      <c r="C93" t="s">
        <v>454</v>
      </c>
      <c r="D93" t="s">
        <v>32</v>
      </c>
      <c r="E93" t="s">
        <v>455</v>
      </c>
      <c r="F93" t="s">
        <v>1864</v>
      </c>
      <c r="G93" t="s">
        <v>2491</v>
      </c>
      <c r="H93" t="b">
        <v>1</v>
      </c>
      <c r="I93" t="s">
        <v>1799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3">
        <v>21427700000000</v>
      </c>
      <c r="R93">
        <v>78.5</v>
      </c>
      <c r="S93">
        <v>9.6</v>
      </c>
      <c r="T93">
        <v>36.6</v>
      </c>
      <c r="U93">
        <v>328239523</v>
      </c>
      <c r="V93" s="5">
        <f t="shared" si="3"/>
        <v>13196</v>
      </c>
      <c r="W93" s="5">
        <f t="shared" ca="1" si="4"/>
        <v>46116</v>
      </c>
      <c r="X93">
        <f t="shared" ca="1" si="5"/>
        <v>90</v>
      </c>
    </row>
    <row r="94" spans="1:24" x14ac:dyDescent="0.25">
      <c r="A94">
        <v>94</v>
      </c>
      <c r="B94" t="s">
        <v>1868</v>
      </c>
      <c r="C94" t="s">
        <v>2277</v>
      </c>
      <c r="D94" t="s">
        <v>74</v>
      </c>
      <c r="E94" t="s">
        <v>459</v>
      </c>
      <c r="F94" t="s">
        <v>449</v>
      </c>
      <c r="G94" t="s">
        <v>1868</v>
      </c>
      <c r="H94" t="b">
        <v>0</v>
      </c>
      <c r="I94" t="s">
        <v>2223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3">
        <v>2611000000000</v>
      </c>
      <c r="R94">
        <v>69.400000000000006</v>
      </c>
      <c r="S94">
        <v>11.2</v>
      </c>
      <c r="T94">
        <v>49.7</v>
      </c>
      <c r="U94">
        <v>1366417754</v>
      </c>
      <c r="V94" s="5">
        <f t="shared" si="3"/>
        <v>18342</v>
      </c>
      <c r="W94" s="5">
        <f t="shared" ca="1" si="4"/>
        <v>46116</v>
      </c>
      <c r="X94">
        <f t="shared" ca="1" si="5"/>
        <v>76</v>
      </c>
    </row>
    <row r="95" spans="1:24" x14ac:dyDescent="0.25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1799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3">
        <v>21427700000000</v>
      </c>
      <c r="R95">
        <v>78.5</v>
      </c>
      <c r="S95">
        <v>9.6</v>
      </c>
      <c r="T95">
        <v>36.6</v>
      </c>
      <c r="U95">
        <v>328239523</v>
      </c>
      <c r="V95" s="5">
        <f t="shared" si="3"/>
        <v>11820</v>
      </c>
      <c r="W95" s="5">
        <f t="shared" ca="1" si="4"/>
        <v>46116</v>
      </c>
      <c r="X95">
        <f t="shared" ca="1" si="5"/>
        <v>93</v>
      </c>
    </row>
    <row r="96" spans="1:24" x14ac:dyDescent="0.25">
      <c r="A96">
        <v>97</v>
      </c>
      <c r="B96" t="s">
        <v>21</v>
      </c>
      <c r="C96" t="s">
        <v>1916</v>
      </c>
      <c r="D96" t="s">
        <v>32</v>
      </c>
      <c r="E96" t="s">
        <v>469</v>
      </c>
      <c r="F96" t="s">
        <v>1917</v>
      </c>
      <c r="G96" t="s">
        <v>21</v>
      </c>
      <c r="H96" t="b">
        <v>1</v>
      </c>
      <c r="I96" t="s">
        <v>1799</v>
      </c>
      <c r="J96" t="s">
        <v>1918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3">
        <v>21427700000000</v>
      </c>
      <c r="R96">
        <v>78.5</v>
      </c>
      <c r="S96">
        <v>9.6</v>
      </c>
      <c r="T96">
        <v>36.6</v>
      </c>
      <c r="U96">
        <v>328239523</v>
      </c>
      <c r="V96" s="5">
        <f t="shared" si="3"/>
        <v>14632</v>
      </c>
      <c r="W96" s="5">
        <f t="shared" ca="1" si="4"/>
        <v>46116</v>
      </c>
      <c r="X96">
        <f t="shared" ca="1" si="5"/>
        <v>86</v>
      </c>
    </row>
    <row r="97" spans="1:24" x14ac:dyDescent="0.25">
      <c r="A97">
        <v>99</v>
      </c>
      <c r="B97" t="s">
        <v>1805</v>
      </c>
      <c r="C97" t="s">
        <v>2278</v>
      </c>
      <c r="D97" t="s">
        <v>32</v>
      </c>
      <c r="E97" t="s">
        <v>61</v>
      </c>
      <c r="F97" t="s">
        <v>473</v>
      </c>
      <c r="G97" t="s">
        <v>1805</v>
      </c>
      <c r="H97" t="b">
        <v>0</v>
      </c>
      <c r="I97" t="s">
        <v>1799</v>
      </c>
      <c r="J97" t="s">
        <v>1919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3">
        <v>21427700000000</v>
      </c>
      <c r="R97">
        <v>78.5</v>
      </c>
      <c r="S97">
        <v>9.6</v>
      </c>
      <c r="T97">
        <v>36.6</v>
      </c>
      <c r="U97">
        <v>328239523</v>
      </c>
      <c r="V97" s="5">
        <f t="shared" si="3"/>
        <v>11393</v>
      </c>
      <c r="W97" s="5">
        <f t="shared" ca="1" si="4"/>
        <v>46116</v>
      </c>
      <c r="X97">
        <f t="shared" ca="1" si="5"/>
        <v>95</v>
      </c>
    </row>
    <row r="98" spans="1:24" x14ac:dyDescent="0.25">
      <c r="A98">
        <v>100</v>
      </c>
      <c r="B98" t="s">
        <v>2491</v>
      </c>
      <c r="C98" t="s">
        <v>2279</v>
      </c>
      <c r="D98" t="s">
        <v>170</v>
      </c>
      <c r="E98" t="s">
        <v>1920</v>
      </c>
      <c r="F98" t="s">
        <v>478</v>
      </c>
      <c r="G98" t="s">
        <v>2491</v>
      </c>
      <c r="H98" t="b">
        <v>0</v>
      </c>
      <c r="I98" t="s">
        <v>2223</v>
      </c>
      <c r="J98" t="s">
        <v>2280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3">
        <v>703082435360</v>
      </c>
      <c r="R98">
        <v>83.6</v>
      </c>
      <c r="S98">
        <v>10.1</v>
      </c>
      <c r="T98">
        <v>28.8</v>
      </c>
      <c r="U98">
        <v>8574832</v>
      </c>
      <c r="V98" s="5">
        <f t="shared" si="3"/>
        <v>19360</v>
      </c>
      <c r="W98" s="5">
        <f t="shared" ca="1" si="4"/>
        <v>46116</v>
      </c>
      <c r="X98">
        <f t="shared" ca="1" si="5"/>
        <v>73</v>
      </c>
    </row>
    <row r="99" spans="1:24" x14ac:dyDescent="0.25">
      <c r="A99">
        <v>101</v>
      </c>
      <c r="B99" t="s">
        <v>21</v>
      </c>
      <c r="C99" t="s">
        <v>2281</v>
      </c>
      <c r="D99" t="s">
        <v>1837</v>
      </c>
      <c r="E99" t="s">
        <v>1921</v>
      </c>
      <c r="F99" t="s">
        <v>483</v>
      </c>
      <c r="G99" t="s">
        <v>21</v>
      </c>
      <c r="H99" t="b">
        <v>0</v>
      </c>
      <c r="I99" t="s">
        <v>1799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3">
        <v>3845630030824</v>
      </c>
      <c r="R99">
        <v>80.900000000000006</v>
      </c>
      <c r="S99">
        <v>11.5</v>
      </c>
      <c r="T99">
        <v>48.8</v>
      </c>
      <c r="U99">
        <v>83132799</v>
      </c>
      <c r="V99" s="5">
        <f t="shared" si="3"/>
        <v>18629</v>
      </c>
      <c r="W99" s="5">
        <f t="shared" ca="1" si="4"/>
        <v>46116</v>
      </c>
      <c r="X99">
        <f t="shared" ca="1" si="5"/>
        <v>75</v>
      </c>
    </row>
    <row r="100" spans="1:24" x14ac:dyDescent="0.25">
      <c r="A100">
        <v>101</v>
      </c>
      <c r="B100" t="s">
        <v>2491</v>
      </c>
      <c r="C100" t="s">
        <v>2282</v>
      </c>
      <c r="D100" t="s">
        <v>487</v>
      </c>
      <c r="E100" t="s">
        <v>488</v>
      </c>
      <c r="F100" t="s">
        <v>2492</v>
      </c>
      <c r="G100" t="s">
        <v>2491</v>
      </c>
      <c r="H100" t="b">
        <v>0</v>
      </c>
      <c r="I100" t="s">
        <v>2223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3">
        <v>246489245495</v>
      </c>
      <c r="R100">
        <v>79</v>
      </c>
      <c r="S100">
        <v>14.9</v>
      </c>
      <c r="T100">
        <v>46.1</v>
      </c>
      <c r="U100">
        <v>10669709</v>
      </c>
      <c r="V100" s="5">
        <f t="shared" si="3"/>
        <v>24657</v>
      </c>
      <c r="W100" s="5">
        <f t="shared" ca="1" si="4"/>
        <v>46116</v>
      </c>
      <c r="X100">
        <f t="shared" ca="1" si="5"/>
        <v>58</v>
      </c>
    </row>
    <row r="101" spans="1:24" x14ac:dyDescent="0.25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1922</v>
      </c>
      <c r="G101" t="s">
        <v>351</v>
      </c>
      <c r="H101" t="b">
        <v>1</v>
      </c>
      <c r="I101" t="s">
        <v>1799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3">
        <v>19910000000000</v>
      </c>
      <c r="R101">
        <v>77</v>
      </c>
      <c r="S101">
        <v>9.4</v>
      </c>
      <c r="T101">
        <v>59.2</v>
      </c>
      <c r="U101">
        <v>1397715000</v>
      </c>
      <c r="V101" s="5">
        <f t="shared" si="3"/>
        <v>18629</v>
      </c>
      <c r="W101" s="5">
        <f t="shared" ca="1" si="4"/>
        <v>46116</v>
      </c>
      <c r="X101">
        <f t="shared" ca="1" si="5"/>
        <v>75</v>
      </c>
    </row>
    <row r="102" spans="1:24" x14ac:dyDescent="0.25">
      <c r="A102">
        <v>104</v>
      </c>
      <c r="B102" t="s">
        <v>21</v>
      </c>
      <c r="C102" t="s">
        <v>2283</v>
      </c>
      <c r="D102" t="s">
        <v>497</v>
      </c>
      <c r="E102" t="s">
        <v>1923</v>
      </c>
      <c r="F102" t="s">
        <v>1924</v>
      </c>
      <c r="G102" t="s">
        <v>21</v>
      </c>
      <c r="H102" t="b">
        <v>0</v>
      </c>
      <c r="I102" t="s">
        <v>1799</v>
      </c>
      <c r="J102" t="s">
        <v>500</v>
      </c>
      <c r="K102" t="s">
        <v>2259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3">
        <v>530832908738</v>
      </c>
      <c r="R102">
        <v>82.5</v>
      </c>
      <c r="S102">
        <v>27.9</v>
      </c>
      <c r="T102">
        <v>49.1</v>
      </c>
      <c r="U102">
        <v>10285453</v>
      </c>
      <c r="V102" s="5">
        <f t="shared" si="3"/>
        <v>17444</v>
      </c>
      <c r="W102" s="5">
        <f t="shared" ca="1" si="4"/>
        <v>46116</v>
      </c>
      <c r="X102">
        <f t="shared" ca="1" si="5"/>
        <v>78</v>
      </c>
    </row>
    <row r="103" spans="1:24" x14ac:dyDescent="0.25">
      <c r="A103">
        <v>104</v>
      </c>
      <c r="B103" t="s">
        <v>38</v>
      </c>
      <c r="C103" t="s">
        <v>1925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1799</v>
      </c>
      <c r="J103" t="s">
        <v>1926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3">
        <v>21427700000000</v>
      </c>
      <c r="R103">
        <v>78.5</v>
      </c>
      <c r="S103">
        <v>9.6</v>
      </c>
      <c r="T103">
        <v>36.6</v>
      </c>
      <c r="U103">
        <v>328239523</v>
      </c>
      <c r="V103" s="5">
        <f t="shared" si="3"/>
        <v>20206</v>
      </c>
      <c r="W103" s="5">
        <f t="shared" ca="1" si="4"/>
        <v>46116</v>
      </c>
      <c r="X103">
        <f t="shared" ca="1" si="5"/>
        <v>70</v>
      </c>
    </row>
    <row r="104" spans="1:24" x14ac:dyDescent="0.25">
      <c r="A104">
        <v>106</v>
      </c>
      <c r="B104" t="s">
        <v>2491</v>
      </c>
      <c r="C104" t="s">
        <v>1927</v>
      </c>
      <c r="D104" t="s">
        <v>170</v>
      </c>
      <c r="E104" t="s">
        <v>239</v>
      </c>
      <c r="F104" t="s">
        <v>2240</v>
      </c>
      <c r="G104" t="s">
        <v>2491</v>
      </c>
      <c r="H104" t="b">
        <v>1</v>
      </c>
      <c r="I104" t="s">
        <v>1799</v>
      </c>
      <c r="J104" t="s">
        <v>506</v>
      </c>
      <c r="K104" t="s">
        <v>1809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3">
        <v>703082435360</v>
      </c>
      <c r="R104">
        <v>83.6</v>
      </c>
      <c r="S104">
        <v>10.1</v>
      </c>
      <c r="T104">
        <v>28.8</v>
      </c>
      <c r="U104">
        <v>8574832</v>
      </c>
      <c r="V104" s="5">
        <f t="shared" si="3"/>
        <v>24915</v>
      </c>
      <c r="W104" s="5">
        <f t="shared" ca="1" si="4"/>
        <v>46116</v>
      </c>
      <c r="X104">
        <f t="shared" ca="1" si="5"/>
        <v>58</v>
      </c>
    </row>
    <row r="105" spans="1:24" x14ac:dyDescent="0.25">
      <c r="A105">
        <v>107</v>
      </c>
      <c r="B105" t="s">
        <v>103</v>
      </c>
      <c r="C105" t="s">
        <v>507</v>
      </c>
      <c r="D105" t="s">
        <v>105</v>
      </c>
      <c r="E105" t="s">
        <v>2261</v>
      </c>
      <c r="F105" t="s">
        <v>508</v>
      </c>
      <c r="G105" t="s">
        <v>103</v>
      </c>
      <c r="H105" t="b">
        <v>1</v>
      </c>
      <c r="I105" t="s">
        <v>1799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3">
        <v>19910000000000</v>
      </c>
      <c r="R105">
        <v>77</v>
      </c>
      <c r="S105">
        <v>9.4</v>
      </c>
      <c r="T105">
        <v>59.2</v>
      </c>
      <c r="U105">
        <v>1397715000</v>
      </c>
      <c r="V105" s="5">
        <f t="shared" si="3"/>
        <v>20473</v>
      </c>
      <c r="W105" s="5">
        <f t="shared" ca="1" si="4"/>
        <v>46116</v>
      </c>
      <c r="X105">
        <f t="shared" ca="1" si="5"/>
        <v>70</v>
      </c>
    </row>
    <row r="106" spans="1:24" x14ac:dyDescent="0.25">
      <c r="A106">
        <v>108</v>
      </c>
      <c r="B106" t="s">
        <v>103</v>
      </c>
      <c r="C106" t="s">
        <v>2284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1799</v>
      </c>
      <c r="J106" t="s">
        <v>1928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3">
        <v>703082435360</v>
      </c>
      <c r="R106">
        <v>83.6</v>
      </c>
      <c r="S106">
        <v>10.1</v>
      </c>
      <c r="T106">
        <v>28.8</v>
      </c>
      <c r="U106">
        <v>8574832</v>
      </c>
      <c r="V106" s="5">
        <f t="shared" si="3"/>
        <v>14483</v>
      </c>
      <c r="W106" s="5">
        <f t="shared" ca="1" si="4"/>
        <v>46116</v>
      </c>
      <c r="X106">
        <f t="shared" ca="1" si="5"/>
        <v>86</v>
      </c>
    </row>
    <row r="107" spans="1:24" x14ac:dyDescent="0.25">
      <c r="A107">
        <v>112</v>
      </c>
      <c r="B107" t="s">
        <v>351</v>
      </c>
      <c r="C107" t="s">
        <v>516</v>
      </c>
      <c r="D107" t="s">
        <v>74</v>
      </c>
      <c r="E107" t="s">
        <v>1815</v>
      </c>
      <c r="F107" t="s">
        <v>1929</v>
      </c>
      <c r="G107" t="s">
        <v>351</v>
      </c>
      <c r="H107" t="b">
        <v>1</v>
      </c>
      <c r="I107" t="s">
        <v>1799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3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 s="5">
        <f t="shared" si="3"/>
        <v>20363</v>
      </c>
      <c r="W107" s="5">
        <f t="shared" ca="1" si="4"/>
        <v>46116</v>
      </c>
      <c r="X107">
        <f t="shared" ca="1" si="5"/>
        <v>70</v>
      </c>
    </row>
    <row r="108" spans="1:24" x14ac:dyDescent="0.25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1799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3">
        <v>21427700000000</v>
      </c>
      <c r="R108">
        <v>78.5</v>
      </c>
      <c r="S108">
        <v>9.6</v>
      </c>
      <c r="T108">
        <v>36.6</v>
      </c>
      <c r="U108">
        <v>328239523</v>
      </c>
      <c r="V108" s="5">
        <f t="shared" si="3"/>
        <v>28559</v>
      </c>
      <c r="W108" s="5">
        <f t="shared" ca="1" si="4"/>
        <v>46116</v>
      </c>
      <c r="X108">
        <f t="shared" ca="1" si="5"/>
        <v>48</v>
      </c>
    </row>
    <row r="109" spans="1:24" x14ac:dyDescent="0.25">
      <c r="A109">
        <v>114</v>
      </c>
      <c r="B109" t="s">
        <v>21</v>
      </c>
      <c r="C109" t="s">
        <v>1930</v>
      </c>
      <c r="D109" t="s">
        <v>74</v>
      </c>
      <c r="E109" t="s">
        <v>1815</v>
      </c>
      <c r="F109" t="s">
        <v>1931</v>
      </c>
      <c r="G109" t="s">
        <v>21</v>
      </c>
      <c r="H109" t="b">
        <v>1</v>
      </c>
      <c r="I109" t="s">
        <v>1799</v>
      </c>
      <c r="J109" t="s">
        <v>1932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3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 s="5">
        <f t="shared" si="3"/>
        <v>20090</v>
      </c>
      <c r="W109" s="5">
        <f t="shared" ca="1" si="4"/>
        <v>46116</v>
      </c>
      <c r="X109">
        <f t="shared" ca="1" si="5"/>
        <v>71</v>
      </c>
    </row>
    <row r="110" spans="1:24" x14ac:dyDescent="0.25">
      <c r="A110">
        <v>115</v>
      </c>
      <c r="B110" t="s">
        <v>1800</v>
      </c>
      <c r="C110" t="s">
        <v>529</v>
      </c>
      <c r="D110" t="s">
        <v>105</v>
      </c>
      <c r="E110" t="s">
        <v>214</v>
      </c>
      <c r="F110" t="s">
        <v>215</v>
      </c>
      <c r="G110" t="s">
        <v>1800</v>
      </c>
      <c r="H110" t="b">
        <v>1</v>
      </c>
      <c r="I110" t="s">
        <v>1799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3">
        <v>19910000000000</v>
      </c>
      <c r="R110">
        <v>77</v>
      </c>
      <c r="S110">
        <v>9.4</v>
      </c>
      <c r="T110">
        <v>59.2</v>
      </c>
      <c r="U110">
        <v>1397715000</v>
      </c>
      <c r="V110" s="5">
        <f t="shared" si="3"/>
        <v>24473</v>
      </c>
      <c r="W110" s="5">
        <f t="shared" ca="1" si="4"/>
        <v>46116</v>
      </c>
      <c r="X110">
        <f t="shared" ca="1" si="5"/>
        <v>59</v>
      </c>
    </row>
    <row r="111" spans="1:24" x14ac:dyDescent="0.25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1799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3">
        <v>543649976166</v>
      </c>
      <c r="R111">
        <v>76.900000000000006</v>
      </c>
      <c r="S111">
        <v>14.9</v>
      </c>
      <c r="T111">
        <v>29.5</v>
      </c>
      <c r="U111">
        <v>69625582</v>
      </c>
      <c r="V111" s="5">
        <f t="shared" si="3"/>
        <v>14354</v>
      </c>
      <c r="W111" s="5">
        <f t="shared" ca="1" si="4"/>
        <v>46116</v>
      </c>
      <c r="X111">
        <f t="shared" ca="1" si="5"/>
        <v>86</v>
      </c>
    </row>
    <row r="112" spans="1:24" x14ac:dyDescent="0.25">
      <c r="A112">
        <v>116</v>
      </c>
      <c r="B112" t="s">
        <v>21</v>
      </c>
      <c r="C112" t="s">
        <v>2285</v>
      </c>
      <c r="D112" t="s">
        <v>32</v>
      </c>
      <c r="E112" t="s">
        <v>1909</v>
      </c>
      <c r="F112" t="s">
        <v>160</v>
      </c>
      <c r="G112" t="s">
        <v>21</v>
      </c>
      <c r="H112" t="b">
        <v>1</v>
      </c>
      <c r="I112" t="s">
        <v>1799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3">
        <v>21427700000000</v>
      </c>
      <c r="R112">
        <v>78.5</v>
      </c>
      <c r="S112">
        <v>9.6</v>
      </c>
      <c r="T112">
        <v>36.6</v>
      </c>
      <c r="U112">
        <v>328239523</v>
      </c>
      <c r="V112" s="5">
        <f t="shared" si="3"/>
        <v>15293</v>
      </c>
      <c r="W112" s="5">
        <f t="shared" ca="1" si="4"/>
        <v>46116</v>
      </c>
      <c r="X112">
        <f t="shared" ca="1" si="5"/>
        <v>84</v>
      </c>
    </row>
    <row r="113" spans="1:24" x14ac:dyDescent="0.25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1799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3">
        <v>543649976166</v>
      </c>
      <c r="R113">
        <v>76.900000000000006</v>
      </c>
      <c r="S113">
        <v>14.9</v>
      </c>
      <c r="T113">
        <v>29.5</v>
      </c>
      <c r="U113">
        <v>69625582</v>
      </c>
      <c r="V113" s="5">
        <f t="shared" si="3"/>
        <v>16194</v>
      </c>
      <c r="W113" s="5">
        <f t="shared" ca="1" si="4"/>
        <v>46116</v>
      </c>
      <c r="X113">
        <f t="shared" ca="1" si="5"/>
        <v>81</v>
      </c>
    </row>
    <row r="114" spans="1:24" x14ac:dyDescent="0.25">
      <c r="A114">
        <v>119</v>
      </c>
      <c r="B114" t="s">
        <v>103</v>
      </c>
      <c r="C114" t="s">
        <v>2286</v>
      </c>
      <c r="D114" t="s">
        <v>1853</v>
      </c>
      <c r="E114" t="s">
        <v>227</v>
      </c>
      <c r="F114" t="s">
        <v>544</v>
      </c>
      <c r="G114" t="s">
        <v>103</v>
      </c>
      <c r="H114" t="b">
        <v>0</v>
      </c>
      <c r="I114" t="s">
        <v>2223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3">
        <v>2827113184696</v>
      </c>
      <c r="R114">
        <v>81.3</v>
      </c>
      <c r="S114">
        <v>25.5</v>
      </c>
      <c r="T114">
        <v>30.6</v>
      </c>
      <c r="U114">
        <v>66834405</v>
      </c>
      <c r="V114" s="5">
        <f t="shared" si="3"/>
        <v>19905</v>
      </c>
      <c r="W114" s="5">
        <f t="shared" ca="1" si="4"/>
        <v>46116</v>
      </c>
      <c r="X114">
        <f t="shared" ca="1" si="5"/>
        <v>71</v>
      </c>
    </row>
    <row r="115" spans="1:24" x14ac:dyDescent="0.25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1922</v>
      </c>
      <c r="G115" t="s">
        <v>351</v>
      </c>
      <c r="H115" t="b">
        <v>1</v>
      </c>
      <c r="I115" t="s">
        <v>1799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3">
        <v>19910000000000</v>
      </c>
      <c r="R115">
        <v>77</v>
      </c>
      <c r="S115">
        <v>9.4</v>
      </c>
      <c r="T115">
        <v>59.2</v>
      </c>
      <c r="U115">
        <v>1397715000</v>
      </c>
      <c r="V115" s="5">
        <f t="shared" si="3"/>
        <v>22788</v>
      </c>
      <c r="W115" s="5">
        <f t="shared" ca="1" si="4"/>
        <v>46116</v>
      </c>
      <c r="X115">
        <f t="shared" ca="1" si="5"/>
        <v>63</v>
      </c>
    </row>
    <row r="116" spans="1:24" x14ac:dyDescent="0.25">
      <c r="A116">
        <v>121</v>
      </c>
      <c r="B116" t="s">
        <v>1800</v>
      </c>
      <c r="C116" t="s">
        <v>2287</v>
      </c>
      <c r="D116" t="s">
        <v>105</v>
      </c>
      <c r="E116" t="s">
        <v>552</v>
      </c>
      <c r="F116" t="s">
        <v>1906</v>
      </c>
      <c r="G116" t="s">
        <v>1800</v>
      </c>
      <c r="H116" t="b">
        <v>1</v>
      </c>
      <c r="I116" t="s">
        <v>1799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3">
        <v>19910000000000</v>
      </c>
      <c r="R116">
        <v>77</v>
      </c>
      <c r="S116">
        <v>9.4</v>
      </c>
      <c r="T116">
        <v>59.2</v>
      </c>
      <c r="U116">
        <v>1397715000</v>
      </c>
      <c r="V116" s="5">
        <f t="shared" si="3"/>
        <v>23437</v>
      </c>
      <c r="W116" s="5">
        <f t="shared" ca="1" si="4"/>
        <v>46116</v>
      </c>
      <c r="X116">
        <f t="shared" ca="1" si="5"/>
        <v>62</v>
      </c>
    </row>
    <row r="117" spans="1:24" x14ac:dyDescent="0.25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1799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3">
        <v>372062527489</v>
      </c>
      <c r="R117">
        <v>83.1</v>
      </c>
      <c r="S117">
        <v>13.1</v>
      </c>
      <c r="T117">
        <v>21</v>
      </c>
      <c r="U117">
        <v>5703569</v>
      </c>
      <c r="V117" s="5">
        <f t="shared" si="3"/>
        <v>10040</v>
      </c>
      <c r="W117" s="5">
        <f t="shared" ca="1" si="4"/>
        <v>46116</v>
      </c>
      <c r="X117">
        <f t="shared" ca="1" si="5"/>
        <v>98</v>
      </c>
    </row>
    <row r="118" spans="1:24" x14ac:dyDescent="0.25">
      <c r="A118">
        <v>124</v>
      </c>
      <c r="B118" t="s">
        <v>72</v>
      </c>
      <c r="C118" t="s">
        <v>1933</v>
      </c>
      <c r="D118" t="s">
        <v>74</v>
      </c>
      <c r="E118" t="s">
        <v>1815</v>
      </c>
      <c r="F118" t="s">
        <v>1934</v>
      </c>
      <c r="G118" t="s">
        <v>72</v>
      </c>
      <c r="H118" t="b">
        <v>0</v>
      </c>
      <c r="I118" t="s">
        <v>1799</v>
      </c>
      <c r="J118" t="s">
        <v>562</v>
      </c>
      <c r="K118" t="s">
        <v>1935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3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 s="5">
        <f t="shared" si="3"/>
        <v>24637</v>
      </c>
      <c r="W118" s="5">
        <f t="shared" ca="1" si="4"/>
        <v>46116</v>
      </c>
      <c r="X118">
        <f t="shared" ca="1" si="5"/>
        <v>58</v>
      </c>
    </row>
    <row r="119" spans="1:24" x14ac:dyDescent="0.25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1936</v>
      </c>
      <c r="G119" t="s">
        <v>250</v>
      </c>
      <c r="H119" t="b">
        <v>1</v>
      </c>
      <c r="I119" t="s">
        <v>1799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3">
        <v>448120428859</v>
      </c>
      <c r="R119">
        <v>54.3</v>
      </c>
      <c r="S119">
        <v>1.5</v>
      </c>
      <c r="T119">
        <v>34.799999999999997</v>
      </c>
      <c r="U119">
        <v>200963599</v>
      </c>
      <c r="V119" s="5">
        <f t="shared" si="3"/>
        <v>20920</v>
      </c>
      <c r="W119" s="5">
        <f t="shared" ca="1" si="4"/>
        <v>46116</v>
      </c>
      <c r="X119">
        <f t="shared" ca="1" si="5"/>
        <v>68</v>
      </c>
    </row>
    <row r="120" spans="1:24" x14ac:dyDescent="0.25">
      <c r="A120">
        <v>127</v>
      </c>
      <c r="B120" t="s">
        <v>72</v>
      </c>
      <c r="C120" t="s">
        <v>2288</v>
      </c>
      <c r="D120" t="s">
        <v>1853</v>
      </c>
      <c r="E120" t="s">
        <v>227</v>
      </c>
      <c r="F120" t="s">
        <v>172</v>
      </c>
      <c r="G120" t="s">
        <v>72</v>
      </c>
      <c r="H120" t="b">
        <v>0</v>
      </c>
      <c r="I120" t="s">
        <v>1799</v>
      </c>
      <c r="J120" t="s">
        <v>2289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3">
        <v>2827113184696</v>
      </c>
      <c r="R120">
        <v>81.3</v>
      </c>
      <c r="S120">
        <v>25.5</v>
      </c>
      <c r="T120">
        <v>30.6</v>
      </c>
      <c r="U120">
        <v>66834405</v>
      </c>
      <c r="V120" s="5">
        <f t="shared" si="3"/>
        <v>20364</v>
      </c>
      <c r="W120" s="5">
        <f t="shared" ca="1" si="4"/>
        <v>46116</v>
      </c>
      <c r="X120">
        <f t="shared" ca="1" si="5"/>
        <v>70</v>
      </c>
    </row>
    <row r="121" spans="1:24" x14ac:dyDescent="0.25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1799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3">
        <v>19910000000000</v>
      </c>
      <c r="R121">
        <v>77</v>
      </c>
      <c r="S121">
        <v>9.4</v>
      </c>
      <c r="T121">
        <v>59.2</v>
      </c>
      <c r="U121">
        <v>1397715000</v>
      </c>
      <c r="V121" s="5">
        <f t="shared" si="3"/>
        <v>23986</v>
      </c>
      <c r="W121" s="5">
        <f t="shared" ca="1" si="4"/>
        <v>46116</v>
      </c>
      <c r="X121">
        <f t="shared" ca="1" si="5"/>
        <v>60</v>
      </c>
    </row>
    <row r="122" spans="1:24" x14ac:dyDescent="0.25">
      <c r="A122">
        <v>130</v>
      </c>
      <c r="B122" t="s">
        <v>168</v>
      </c>
      <c r="C122" t="s">
        <v>2290</v>
      </c>
      <c r="D122" t="s">
        <v>1853</v>
      </c>
      <c r="E122" t="s">
        <v>227</v>
      </c>
      <c r="F122" t="s">
        <v>172</v>
      </c>
      <c r="G122" t="s">
        <v>168</v>
      </c>
      <c r="H122" t="b">
        <v>1</v>
      </c>
      <c r="I122" t="s">
        <v>1799</v>
      </c>
      <c r="J122" t="s">
        <v>2291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3">
        <v>2827113184696</v>
      </c>
      <c r="R122">
        <v>81.3</v>
      </c>
      <c r="S122">
        <v>25.5</v>
      </c>
      <c r="T122">
        <v>30.6</v>
      </c>
      <c r="U122">
        <v>66834405</v>
      </c>
      <c r="V122" s="5">
        <f t="shared" si="3"/>
        <v>16469</v>
      </c>
      <c r="W122" s="5">
        <f t="shared" ca="1" si="4"/>
        <v>46116</v>
      </c>
      <c r="X122">
        <f t="shared" ca="1" si="5"/>
        <v>81</v>
      </c>
    </row>
    <row r="123" spans="1:24" x14ac:dyDescent="0.25">
      <c r="A123">
        <v>130</v>
      </c>
      <c r="B123" t="s">
        <v>580</v>
      </c>
      <c r="C123" t="s">
        <v>581</v>
      </c>
      <c r="D123" t="s">
        <v>32</v>
      </c>
      <c r="E123" t="s">
        <v>2292</v>
      </c>
      <c r="F123" t="s">
        <v>583</v>
      </c>
      <c r="G123" t="s">
        <v>580</v>
      </c>
      <c r="H123" t="b">
        <v>1</v>
      </c>
      <c r="I123" t="s">
        <v>2223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3">
        <v>21427700000000</v>
      </c>
      <c r="R123">
        <v>78.5</v>
      </c>
      <c r="S123">
        <v>9.6</v>
      </c>
      <c r="T123">
        <v>36.6</v>
      </c>
      <c r="U123">
        <v>328239523</v>
      </c>
      <c r="V123" s="5">
        <f t="shared" si="3"/>
        <v>17228</v>
      </c>
      <c r="W123" s="5">
        <f t="shared" ca="1" si="4"/>
        <v>46116</v>
      </c>
      <c r="X123">
        <f t="shared" ca="1" si="5"/>
        <v>79</v>
      </c>
    </row>
    <row r="124" spans="1:24" x14ac:dyDescent="0.25">
      <c r="A124">
        <v>130</v>
      </c>
      <c r="B124" t="s">
        <v>38</v>
      </c>
      <c r="C124" t="s">
        <v>1937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1799</v>
      </c>
      <c r="J124" t="s">
        <v>1938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3">
        <v>21427700000000</v>
      </c>
      <c r="R124">
        <v>78.5</v>
      </c>
      <c r="S124">
        <v>9.6</v>
      </c>
      <c r="T124">
        <v>36.6</v>
      </c>
      <c r="U124">
        <v>328239523</v>
      </c>
      <c r="V124" s="5">
        <f t="shared" si="3"/>
        <v>27814</v>
      </c>
      <c r="W124" s="5">
        <f t="shared" ca="1" si="4"/>
        <v>46116</v>
      </c>
      <c r="X124">
        <f t="shared" ca="1" si="5"/>
        <v>50</v>
      </c>
    </row>
    <row r="125" spans="1:24" x14ac:dyDescent="0.25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1799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3">
        <v>21427700000000</v>
      </c>
      <c r="R125">
        <v>78.5</v>
      </c>
      <c r="S125">
        <v>9.6</v>
      </c>
      <c r="T125">
        <v>36.6</v>
      </c>
      <c r="U125">
        <v>328239523</v>
      </c>
      <c r="V125" s="5">
        <f t="shared" si="3"/>
        <v>15627</v>
      </c>
      <c r="W125" s="5">
        <f t="shared" ca="1" si="4"/>
        <v>46116</v>
      </c>
      <c r="X125">
        <f t="shared" ca="1" si="5"/>
        <v>83</v>
      </c>
    </row>
    <row r="126" spans="1:24" x14ac:dyDescent="0.25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1799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3">
        <v>21427700000000</v>
      </c>
      <c r="R126">
        <v>78.5</v>
      </c>
      <c r="S126">
        <v>9.6</v>
      </c>
      <c r="T126">
        <v>36.6</v>
      </c>
      <c r="U126">
        <v>328239523</v>
      </c>
      <c r="V126" s="5">
        <f t="shared" si="3"/>
        <v>15551</v>
      </c>
      <c r="W126" s="5">
        <f t="shared" ca="1" si="4"/>
        <v>46116</v>
      </c>
      <c r="X126">
        <f t="shared" ca="1" si="5"/>
        <v>83</v>
      </c>
    </row>
    <row r="127" spans="1:24" x14ac:dyDescent="0.25">
      <c r="A127">
        <v>136</v>
      </c>
      <c r="B127" t="s">
        <v>1800</v>
      </c>
      <c r="C127" t="s">
        <v>601</v>
      </c>
      <c r="D127" t="s">
        <v>105</v>
      </c>
      <c r="E127" t="s">
        <v>602</v>
      </c>
      <c r="F127" t="s">
        <v>1939</v>
      </c>
      <c r="G127" t="s">
        <v>1800</v>
      </c>
      <c r="H127" t="b">
        <v>1</v>
      </c>
      <c r="I127" t="s">
        <v>1799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3">
        <v>19910000000000</v>
      </c>
      <c r="R127">
        <v>77</v>
      </c>
      <c r="S127">
        <v>9.4</v>
      </c>
      <c r="T127">
        <v>59.2</v>
      </c>
      <c r="U127">
        <v>1397715000</v>
      </c>
      <c r="V127" s="5">
        <f t="shared" si="3"/>
        <v>23008</v>
      </c>
      <c r="W127" s="5">
        <f t="shared" ca="1" si="4"/>
        <v>46116</v>
      </c>
      <c r="X127">
        <f t="shared" ca="1" si="5"/>
        <v>63</v>
      </c>
    </row>
    <row r="128" spans="1:24" x14ac:dyDescent="0.25">
      <c r="A128">
        <v>137</v>
      </c>
      <c r="B128" t="s">
        <v>462</v>
      </c>
      <c r="C128" t="s">
        <v>2293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1799</v>
      </c>
      <c r="J128" t="s">
        <v>2294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3">
        <v>1392680589329</v>
      </c>
      <c r="R128">
        <v>82.7</v>
      </c>
      <c r="S128">
        <v>23</v>
      </c>
      <c r="T128">
        <v>47.4</v>
      </c>
      <c r="U128">
        <v>25766605</v>
      </c>
      <c r="V128" s="5">
        <f t="shared" si="3"/>
        <v>12116</v>
      </c>
      <c r="W128" s="5">
        <f t="shared" ca="1" si="4"/>
        <v>46116</v>
      </c>
      <c r="X128">
        <f t="shared" ca="1" si="5"/>
        <v>93</v>
      </c>
    </row>
    <row r="129" spans="1:24" x14ac:dyDescent="0.25">
      <c r="A129">
        <v>138</v>
      </c>
      <c r="B129" t="s">
        <v>2491</v>
      </c>
      <c r="C129" t="s">
        <v>610</v>
      </c>
      <c r="D129" t="s">
        <v>74</v>
      </c>
      <c r="E129" t="s">
        <v>1815</v>
      </c>
      <c r="F129" t="s">
        <v>478</v>
      </c>
      <c r="G129" t="s">
        <v>2491</v>
      </c>
      <c r="H129" t="b">
        <v>1</v>
      </c>
      <c r="I129" t="s">
        <v>1799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3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 s="5">
        <f t="shared" si="3"/>
        <v>21624</v>
      </c>
      <c r="W129" s="5">
        <f t="shared" ca="1" si="4"/>
        <v>46116</v>
      </c>
      <c r="X129">
        <f t="shared" ca="1" si="5"/>
        <v>67</v>
      </c>
    </row>
    <row r="130" spans="1:24" x14ac:dyDescent="0.25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1799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3">
        <v>21427700000000</v>
      </c>
      <c r="R130">
        <v>78.5</v>
      </c>
      <c r="S130">
        <v>9.6</v>
      </c>
      <c r="T130">
        <v>36.6</v>
      </c>
      <c r="U130">
        <v>328239523</v>
      </c>
      <c r="V130" s="5">
        <f t="shared" si="3"/>
        <v>17377</v>
      </c>
      <c r="W130" s="5">
        <f t="shared" ca="1" si="4"/>
        <v>46116</v>
      </c>
      <c r="X130">
        <f t="shared" ca="1" si="5"/>
        <v>78</v>
      </c>
    </row>
    <row r="131" spans="1:24" x14ac:dyDescent="0.25">
      <c r="A131">
        <v>140</v>
      </c>
      <c r="B131" t="s">
        <v>292</v>
      </c>
      <c r="C131" t="s">
        <v>2295</v>
      </c>
      <c r="D131" t="s">
        <v>1853</v>
      </c>
      <c r="E131" t="s">
        <v>227</v>
      </c>
      <c r="F131" t="s">
        <v>1940</v>
      </c>
      <c r="G131" t="s">
        <v>292</v>
      </c>
      <c r="H131" t="b">
        <v>1</v>
      </c>
      <c r="I131" t="s">
        <v>1799</v>
      </c>
      <c r="J131" t="s">
        <v>2296</v>
      </c>
      <c r="K131" t="s">
        <v>1941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3">
        <v>2827113184696</v>
      </c>
      <c r="R131">
        <v>81.3</v>
      </c>
      <c r="S131">
        <v>25.5</v>
      </c>
      <c r="T131">
        <v>30.6</v>
      </c>
      <c r="U131">
        <v>66834405</v>
      </c>
      <c r="V131" s="5">
        <f t="shared" ref="V131:V194" si="6">DATE(M131, N131, O131 )</f>
        <v>23488</v>
      </c>
      <c r="W131" s="5">
        <f t="shared" ref="W131:W194" ca="1" si="7">TODAY()</f>
        <v>46116</v>
      </c>
      <c r="X131">
        <f t="shared" ref="X131:X194" ca="1" si="8">INT(YEARFRAC(V131, W131))</f>
        <v>61</v>
      </c>
    </row>
    <row r="132" spans="1:24" x14ac:dyDescent="0.25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1799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3">
        <v>543649976166</v>
      </c>
      <c r="R132">
        <v>76.900000000000006</v>
      </c>
      <c r="S132">
        <v>14.9</v>
      </c>
      <c r="T132">
        <v>29.5</v>
      </c>
      <c r="U132">
        <v>69625582</v>
      </c>
      <c r="V132" s="5">
        <f t="shared" si="6"/>
        <v>23935</v>
      </c>
      <c r="W132" s="5">
        <f t="shared" ca="1" si="7"/>
        <v>46116</v>
      </c>
      <c r="X132">
        <f t="shared" ca="1" si="8"/>
        <v>60</v>
      </c>
    </row>
    <row r="133" spans="1:24" x14ac:dyDescent="0.25">
      <c r="A133">
        <v>142</v>
      </c>
      <c r="B133" t="s">
        <v>1868</v>
      </c>
      <c r="C133" t="s">
        <v>625</v>
      </c>
      <c r="D133" t="s">
        <v>105</v>
      </c>
      <c r="E133" t="s">
        <v>626</v>
      </c>
      <c r="F133" t="s">
        <v>296</v>
      </c>
      <c r="G133" t="s">
        <v>1868</v>
      </c>
      <c r="H133" t="b">
        <v>1</v>
      </c>
      <c r="I133" t="s">
        <v>1799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3">
        <v>19910000000000</v>
      </c>
      <c r="R133">
        <v>77</v>
      </c>
      <c r="S133">
        <v>9.4</v>
      </c>
      <c r="T133">
        <v>59.2</v>
      </c>
      <c r="U133">
        <v>1397715000</v>
      </c>
      <c r="V133" s="5">
        <f t="shared" si="6"/>
        <v>26696</v>
      </c>
      <c r="W133" s="5">
        <f t="shared" ca="1" si="7"/>
        <v>46116</v>
      </c>
      <c r="X133">
        <f t="shared" ca="1" si="8"/>
        <v>53</v>
      </c>
    </row>
    <row r="134" spans="1:24" x14ac:dyDescent="0.25">
      <c r="A134">
        <v>142</v>
      </c>
      <c r="B134" t="s">
        <v>351</v>
      </c>
      <c r="C134" t="s">
        <v>2297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1799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3">
        <v>19910000000000</v>
      </c>
      <c r="R134">
        <v>77</v>
      </c>
      <c r="S134">
        <v>9.4</v>
      </c>
      <c r="T134">
        <v>59.2</v>
      </c>
      <c r="U134">
        <v>1397715000</v>
      </c>
      <c r="V134" s="5">
        <f t="shared" si="6"/>
        <v>19640</v>
      </c>
      <c r="W134" s="5">
        <f t="shared" ca="1" si="7"/>
        <v>46116</v>
      </c>
      <c r="X134">
        <f t="shared" ca="1" si="8"/>
        <v>72</v>
      </c>
    </row>
    <row r="135" spans="1:24" x14ac:dyDescent="0.25">
      <c r="A135">
        <v>144</v>
      </c>
      <c r="B135" t="s">
        <v>1800</v>
      </c>
      <c r="C135" t="s">
        <v>633</v>
      </c>
      <c r="D135" t="s">
        <v>32</v>
      </c>
      <c r="E135" t="s">
        <v>634</v>
      </c>
      <c r="F135" t="s">
        <v>635</v>
      </c>
      <c r="G135" t="s">
        <v>1800</v>
      </c>
      <c r="H135" t="b">
        <v>1</v>
      </c>
      <c r="I135" t="s">
        <v>1799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3">
        <v>21427700000000</v>
      </c>
      <c r="R135">
        <v>78.5</v>
      </c>
      <c r="S135">
        <v>9.6</v>
      </c>
      <c r="T135">
        <v>36.6</v>
      </c>
      <c r="U135">
        <v>328239523</v>
      </c>
      <c r="V135" s="5">
        <f t="shared" si="6"/>
        <v>18462</v>
      </c>
      <c r="W135" s="5">
        <f t="shared" ca="1" si="7"/>
        <v>46116</v>
      </c>
      <c r="X135">
        <f t="shared" ca="1" si="8"/>
        <v>75</v>
      </c>
    </row>
    <row r="136" spans="1:24" x14ac:dyDescent="0.25">
      <c r="A136">
        <v>145</v>
      </c>
      <c r="B136" t="s">
        <v>38</v>
      </c>
      <c r="C136" t="s">
        <v>2298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2223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3">
        <v>21427700000000</v>
      </c>
      <c r="R136">
        <v>78.5</v>
      </c>
      <c r="S136">
        <v>9.6</v>
      </c>
      <c r="T136">
        <v>36.6</v>
      </c>
      <c r="U136">
        <v>328239523</v>
      </c>
      <c r="V136" s="5">
        <f t="shared" si="6"/>
        <v>23321</v>
      </c>
      <c r="W136" s="5">
        <f t="shared" ca="1" si="7"/>
        <v>46116</v>
      </c>
      <c r="X136">
        <f t="shared" ca="1" si="8"/>
        <v>62</v>
      </c>
    </row>
    <row r="137" spans="1:24" x14ac:dyDescent="0.25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1799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3">
        <v>21427700000000</v>
      </c>
      <c r="R137">
        <v>78.5</v>
      </c>
      <c r="S137">
        <v>9.6</v>
      </c>
      <c r="T137">
        <v>36.6</v>
      </c>
      <c r="U137">
        <v>328239523</v>
      </c>
      <c r="V137" s="5">
        <f t="shared" si="6"/>
        <v>14741</v>
      </c>
      <c r="W137" s="5">
        <f t="shared" ca="1" si="7"/>
        <v>46116</v>
      </c>
      <c r="X137">
        <f t="shared" ca="1" si="8"/>
        <v>85</v>
      </c>
    </row>
    <row r="138" spans="1:24" x14ac:dyDescent="0.25">
      <c r="A138">
        <v>148</v>
      </c>
      <c r="B138" t="s">
        <v>38</v>
      </c>
      <c r="C138" t="s">
        <v>644</v>
      </c>
      <c r="D138" t="s">
        <v>1877</v>
      </c>
      <c r="E138" t="s">
        <v>645</v>
      </c>
      <c r="F138" t="s">
        <v>1942</v>
      </c>
      <c r="G138" t="s">
        <v>38</v>
      </c>
      <c r="H138" t="b">
        <v>1</v>
      </c>
      <c r="I138" t="s">
        <v>1799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3">
        <v>421142267938</v>
      </c>
      <c r="R138">
        <v>77.8</v>
      </c>
      <c r="S138">
        <v>0.1</v>
      </c>
      <c r="T138">
        <v>15.9</v>
      </c>
      <c r="U138">
        <v>9770529</v>
      </c>
      <c r="V138" s="5">
        <f t="shared" si="6"/>
        <v>30965</v>
      </c>
      <c r="W138" s="5">
        <f t="shared" ca="1" si="7"/>
        <v>46116</v>
      </c>
      <c r="X138">
        <f t="shared" ca="1" si="8"/>
        <v>41</v>
      </c>
    </row>
    <row r="139" spans="1:24" x14ac:dyDescent="0.25">
      <c r="A139">
        <v>148</v>
      </c>
      <c r="B139" t="s">
        <v>351</v>
      </c>
      <c r="C139" t="s">
        <v>2299</v>
      </c>
      <c r="D139" t="s">
        <v>1837</v>
      </c>
      <c r="E139" t="s">
        <v>650</v>
      </c>
      <c r="F139" t="s">
        <v>1929</v>
      </c>
      <c r="G139" t="s">
        <v>351</v>
      </c>
      <c r="H139" t="b">
        <v>1</v>
      </c>
      <c r="I139" t="s">
        <v>1799</v>
      </c>
      <c r="J139" t="s">
        <v>1943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3">
        <v>3845630030824</v>
      </c>
      <c r="R139">
        <v>80.900000000000006</v>
      </c>
      <c r="S139">
        <v>11.5</v>
      </c>
      <c r="T139">
        <v>48.8</v>
      </c>
      <c r="U139">
        <v>83132799</v>
      </c>
      <c r="V139" s="5">
        <f t="shared" si="6"/>
        <v>18310</v>
      </c>
      <c r="W139" s="5">
        <f t="shared" ca="1" si="7"/>
        <v>46116</v>
      </c>
      <c r="X139">
        <f t="shared" ca="1" si="8"/>
        <v>76</v>
      </c>
    </row>
    <row r="140" spans="1:24" x14ac:dyDescent="0.25">
      <c r="A140">
        <v>148</v>
      </c>
      <c r="B140" t="s">
        <v>351</v>
      </c>
      <c r="C140" t="s">
        <v>2300</v>
      </c>
      <c r="D140" t="s">
        <v>1837</v>
      </c>
      <c r="E140" t="s">
        <v>650</v>
      </c>
      <c r="F140" t="s">
        <v>1929</v>
      </c>
      <c r="G140" t="s">
        <v>351</v>
      </c>
      <c r="H140" t="b">
        <v>1</v>
      </c>
      <c r="I140" t="s">
        <v>1799</v>
      </c>
      <c r="J140" t="s">
        <v>1943</v>
      </c>
      <c r="K140" t="s">
        <v>1876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3">
        <v>3845630030824</v>
      </c>
      <c r="R140">
        <v>80.900000000000006</v>
      </c>
      <c r="S140">
        <v>11.5</v>
      </c>
      <c r="T140">
        <v>48.8</v>
      </c>
      <c r="U140">
        <v>83132799</v>
      </c>
      <c r="V140" s="5">
        <f t="shared" si="6"/>
        <v>18310</v>
      </c>
      <c r="W140" s="5">
        <f t="shared" ca="1" si="7"/>
        <v>46116</v>
      </c>
      <c r="X140">
        <f t="shared" ca="1" si="8"/>
        <v>76</v>
      </c>
    </row>
    <row r="141" spans="1:24" x14ac:dyDescent="0.25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1799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3">
        <v>19910000000000</v>
      </c>
      <c r="R141">
        <v>77</v>
      </c>
      <c r="S141">
        <v>9.4</v>
      </c>
      <c r="T141">
        <v>59.2</v>
      </c>
      <c r="U141">
        <v>1397715000</v>
      </c>
      <c r="V141" s="5">
        <f t="shared" si="6"/>
        <v>23377</v>
      </c>
      <c r="W141" s="5">
        <f t="shared" ca="1" si="7"/>
        <v>46116</v>
      </c>
      <c r="X141">
        <f t="shared" ca="1" si="8"/>
        <v>62</v>
      </c>
    </row>
    <row r="142" spans="1:24" x14ac:dyDescent="0.25">
      <c r="A142">
        <v>151</v>
      </c>
      <c r="B142" t="s">
        <v>21</v>
      </c>
      <c r="C142" t="s">
        <v>1944</v>
      </c>
      <c r="D142" t="s">
        <v>32</v>
      </c>
      <c r="E142" t="s">
        <v>1945</v>
      </c>
      <c r="F142" t="s">
        <v>661</v>
      </c>
      <c r="G142" t="s">
        <v>21</v>
      </c>
      <c r="H142" t="b">
        <v>1</v>
      </c>
      <c r="I142" t="s">
        <v>1799</v>
      </c>
      <c r="J142" t="s">
        <v>662</v>
      </c>
      <c r="K142" t="s">
        <v>1809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3">
        <v>21427700000000</v>
      </c>
      <c r="R142">
        <v>78.5</v>
      </c>
      <c r="S142">
        <v>9.6</v>
      </c>
      <c r="T142">
        <v>36.6</v>
      </c>
      <c r="U142">
        <v>328239523</v>
      </c>
      <c r="V142" s="5">
        <f t="shared" si="6"/>
        <v>26501</v>
      </c>
      <c r="W142" s="5">
        <f t="shared" ca="1" si="7"/>
        <v>46116</v>
      </c>
      <c r="X142">
        <f t="shared" ca="1" si="8"/>
        <v>53</v>
      </c>
    </row>
    <row r="143" spans="1:24" x14ac:dyDescent="0.25">
      <c r="A143">
        <v>153</v>
      </c>
      <c r="B143" t="s">
        <v>2491</v>
      </c>
      <c r="C143" t="s">
        <v>663</v>
      </c>
      <c r="D143" t="s">
        <v>32</v>
      </c>
      <c r="E143" t="s">
        <v>61</v>
      </c>
      <c r="F143" t="s">
        <v>2240</v>
      </c>
      <c r="G143" t="s">
        <v>2491</v>
      </c>
      <c r="H143" t="b">
        <v>1</v>
      </c>
      <c r="I143" t="s">
        <v>1799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3">
        <v>21427700000000</v>
      </c>
      <c r="R143">
        <v>78.5</v>
      </c>
      <c r="S143">
        <v>9.6</v>
      </c>
      <c r="T143">
        <v>36.6</v>
      </c>
      <c r="U143">
        <v>328239523</v>
      </c>
      <c r="V143" s="5">
        <f t="shared" si="6"/>
        <v>17806</v>
      </c>
      <c r="W143" s="5">
        <f t="shared" ca="1" si="7"/>
        <v>46116</v>
      </c>
      <c r="X143">
        <f t="shared" ca="1" si="8"/>
        <v>77</v>
      </c>
    </row>
    <row r="144" spans="1:24" x14ac:dyDescent="0.25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2301</v>
      </c>
      <c r="G144" t="s">
        <v>250</v>
      </c>
      <c r="H144" t="b">
        <v>1</v>
      </c>
      <c r="I144" t="s">
        <v>1799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3">
        <v>395098666122</v>
      </c>
      <c r="R144">
        <v>82.8</v>
      </c>
      <c r="S144">
        <v>23.1</v>
      </c>
      <c r="T144">
        <v>25.3</v>
      </c>
      <c r="U144">
        <v>9053300</v>
      </c>
      <c r="V144" s="5">
        <f t="shared" si="6"/>
        <v>19610</v>
      </c>
      <c r="W144" s="5">
        <f t="shared" ca="1" si="7"/>
        <v>46116</v>
      </c>
      <c r="X144">
        <f t="shared" ca="1" si="8"/>
        <v>72</v>
      </c>
    </row>
    <row r="145" spans="1:24" x14ac:dyDescent="0.25">
      <c r="A145">
        <v>153</v>
      </c>
      <c r="B145" t="s">
        <v>250</v>
      </c>
      <c r="C145" t="s">
        <v>672</v>
      </c>
      <c r="D145" t="s">
        <v>274</v>
      </c>
      <c r="E145" t="s">
        <v>1946</v>
      </c>
      <c r="F145" t="s">
        <v>250</v>
      </c>
      <c r="G145" t="s">
        <v>250</v>
      </c>
      <c r="H145" t="b">
        <v>0</v>
      </c>
      <c r="I145" t="s">
        <v>1799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3">
        <v>1392680589329</v>
      </c>
      <c r="R145">
        <v>82.7</v>
      </c>
      <c r="S145">
        <v>23</v>
      </c>
      <c r="T145">
        <v>47.4</v>
      </c>
      <c r="U145">
        <v>25766605</v>
      </c>
      <c r="V145" s="5">
        <f t="shared" si="6"/>
        <v>22017</v>
      </c>
      <c r="W145" s="5">
        <f t="shared" ca="1" si="7"/>
        <v>46116</v>
      </c>
      <c r="X145">
        <f t="shared" ca="1" si="8"/>
        <v>65</v>
      </c>
    </row>
    <row r="146" spans="1:24" x14ac:dyDescent="0.25">
      <c r="A146">
        <v>153</v>
      </c>
      <c r="B146" t="s">
        <v>2491</v>
      </c>
      <c r="C146" t="s">
        <v>1947</v>
      </c>
      <c r="D146" t="s">
        <v>170</v>
      </c>
      <c r="E146" t="s">
        <v>2302</v>
      </c>
      <c r="F146" t="s">
        <v>1864</v>
      </c>
      <c r="G146" t="s">
        <v>2491</v>
      </c>
      <c r="H146" t="b">
        <v>1</v>
      </c>
      <c r="I146" t="s">
        <v>1799</v>
      </c>
      <c r="J146" t="s">
        <v>678</v>
      </c>
      <c r="K146" t="s">
        <v>1941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3">
        <v>703082435360</v>
      </c>
      <c r="R146">
        <v>83.6</v>
      </c>
      <c r="S146">
        <v>10.1</v>
      </c>
      <c r="T146">
        <v>28.8</v>
      </c>
      <c r="U146">
        <v>8574832</v>
      </c>
      <c r="V146" s="5">
        <f t="shared" si="6"/>
        <v>23865</v>
      </c>
      <c r="W146" s="5">
        <f t="shared" ca="1" si="7"/>
        <v>46116</v>
      </c>
      <c r="X146">
        <f t="shared" ca="1" si="8"/>
        <v>60</v>
      </c>
    </row>
    <row r="147" spans="1:24" x14ac:dyDescent="0.25">
      <c r="A147">
        <v>157</v>
      </c>
      <c r="B147" t="s">
        <v>21</v>
      </c>
      <c r="C147" t="s">
        <v>1948</v>
      </c>
      <c r="D147" t="s">
        <v>680</v>
      </c>
      <c r="E147" t="s">
        <v>1949</v>
      </c>
      <c r="F147" t="s">
        <v>165</v>
      </c>
      <c r="G147" t="s">
        <v>21</v>
      </c>
      <c r="H147" t="b">
        <v>1</v>
      </c>
      <c r="I147" t="s">
        <v>1799</v>
      </c>
      <c r="J147" t="s">
        <v>1950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3">
        <v>2001244392042</v>
      </c>
      <c r="R147">
        <v>82.9</v>
      </c>
      <c r="S147">
        <v>24.3</v>
      </c>
      <c r="T147">
        <v>59.1</v>
      </c>
      <c r="U147">
        <v>60297396</v>
      </c>
      <c r="V147" s="5">
        <f t="shared" si="6"/>
        <v>12611</v>
      </c>
      <c r="W147" s="5">
        <f t="shared" ca="1" si="7"/>
        <v>46116</v>
      </c>
      <c r="X147">
        <f t="shared" ca="1" si="8"/>
        <v>91</v>
      </c>
    </row>
    <row r="148" spans="1:24" x14ac:dyDescent="0.25">
      <c r="A148">
        <v>157</v>
      </c>
      <c r="B148" t="s">
        <v>21</v>
      </c>
      <c r="C148" t="s">
        <v>2303</v>
      </c>
      <c r="D148" t="s">
        <v>2304</v>
      </c>
      <c r="E148" t="s">
        <v>687</v>
      </c>
      <c r="F148" t="s">
        <v>165</v>
      </c>
      <c r="G148" t="s">
        <v>21</v>
      </c>
      <c r="H148" t="b">
        <v>0</v>
      </c>
      <c r="I148" t="s">
        <v>1799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3">
        <v>351431649241</v>
      </c>
      <c r="R148">
        <v>63.9</v>
      </c>
      <c r="S148">
        <v>27.5</v>
      </c>
      <c r="T148">
        <v>29.2</v>
      </c>
      <c r="U148">
        <v>58558270</v>
      </c>
      <c r="V148" s="5">
        <f t="shared" si="6"/>
        <v>18415</v>
      </c>
      <c r="W148" s="5">
        <f t="shared" ca="1" si="7"/>
        <v>46116</v>
      </c>
      <c r="X148">
        <f t="shared" ca="1" si="8"/>
        <v>75</v>
      </c>
    </row>
    <row r="149" spans="1:24" x14ac:dyDescent="0.25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1846</v>
      </c>
      <c r="G149" t="s">
        <v>38</v>
      </c>
      <c r="H149" t="b">
        <v>1</v>
      </c>
      <c r="I149" t="s">
        <v>1799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3">
        <v>19910000000000</v>
      </c>
      <c r="R149">
        <v>77</v>
      </c>
      <c r="S149">
        <v>9.4</v>
      </c>
      <c r="T149">
        <v>59.2</v>
      </c>
      <c r="U149">
        <v>1397715000</v>
      </c>
      <c r="V149" s="5">
        <f t="shared" si="6"/>
        <v>26299</v>
      </c>
      <c r="W149" s="5">
        <f t="shared" ca="1" si="7"/>
        <v>46116</v>
      </c>
      <c r="X149">
        <f t="shared" ca="1" si="8"/>
        <v>54</v>
      </c>
    </row>
    <row r="150" spans="1:24" x14ac:dyDescent="0.25">
      <c r="A150">
        <v>161</v>
      </c>
      <c r="B150" t="s">
        <v>2491</v>
      </c>
      <c r="C150" t="s">
        <v>692</v>
      </c>
      <c r="D150" t="s">
        <v>32</v>
      </c>
      <c r="E150" t="s">
        <v>693</v>
      </c>
      <c r="F150" t="s">
        <v>1951</v>
      </c>
      <c r="G150" t="s">
        <v>2491</v>
      </c>
      <c r="H150" t="b">
        <v>0</v>
      </c>
      <c r="I150" t="s">
        <v>1799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3">
        <v>21427700000000</v>
      </c>
      <c r="R150">
        <v>78.5</v>
      </c>
      <c r="S150">
        <v>9.6</v>
      </c>
      <c r="T150">
        <v>36.6</v>
      </c>
      <c r="U150">
        <v>328239523</v>
      </c>
      <c r="V150" s="5">
        <f t="shared" si="6"/>
        <v>14607</v>
      </c>
      <c r="W150" s="5">
        <f t="shared" ca="1" si="7"/>
        <v>46116</v>
      </c>
      <c r="X150">
        <f t="shared" ca="1" si="8"/>
        <v>86</v>
      </c>
    </row>
    <row r="151" spans="1:24" x14ac:dyDescent="0.25">
      <c r="A151">
        <v>161</v>
      </c>
      <c r="B151" t="s">
        <v>21</v>
      </c>
      <c r="C151" t="s">
        <v>2305</v>
      </c>
      <c r="D151" t="s">
        <v>32</v>
      </c>
      <c r="E151" t="s">
        <v>1909</v>
      </c>
      <c r="F151" t="s">
        <v>698</v>
      </c>
      <c r="G151" t="s">
        <v>21</v>
      </c>
      <c r="H151" t="b">
        <v>1</v>
      </c>
      <c r="I151" t="s">
        <v>2223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3">
        <v>21427700000000</v>
      </c>
      <c r="R151">
        <v>78.5</v>
      </c>
      <c r="S151">
        <v>9.6</v>
      </c>
      <c r="T151">
        <v>36.6</v>
      </c>
      <c r="U151">
        <v>328239523</v>
      </c>
      <c r="V151" s="5">
        <f t="shared" si="6"/>
        <v>13683</v>
      </c>
      <c r="W151" s="5">
        <f t="shared" ca="1" si="7"/>
        <v>46116</v>
      </c>
      <c r="X151">
        <f t="shared" ca="1" si="8"/>
        <v>88</v>
      </c>
    </row>
    <row r="152" spans="1:24" x14ac:dyDescent="0.25">
      <c r="A152">
        <v>161</v>
      </c>
      <c r="B152" t="s">
        <v>21</v>
      </c>
      <c r="C152" t="s">
        <v>2306</v>
      </c>
      <c r="D152" t="s">
        <v>1811</v>
      </c>
      <c r="E152" t="s">
        <v>1812</v>
      </c>
      <c r="F152" t="s">
        <v>1952</v>
      </c>
      <c r="G152" t="s">
        <v>21</v>
      </c>
      <c r="H152" t="b">
        <v>0</v>
      </c>
      <c r="I152" t="s">
        <v>1799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3">
        <v>1258286717125</v>
      </c>
      <c r="R152">
        <v>75</v>
      </c>
      <c r="S152">
        <v>13.1</v>
      </c>
      <c r="T152">
        <v>55.1</v>
      </c>
      <c r="U152">
        <v>126014024</v>
      </c>
      <c r="V152" s="5">
        <f t="shared" si="6"/>
        <v>20381</v>
      </c>
      <c r="W152" s="5">
        <f t="shared" ca="1" si="7"/>
        <v>46116</v>
      </c>
      <c r="X152">
        <f t="shared" ca="1" si="8"/>
        <v>70</v>
      </c>
    </row>
    <row r="153" spans="1:24" x14ac:dyDescent="0.25">
      <c r="A153">
        <v>164</v>
      </c>
      <c r="B153" t="s">
        <v>1805</v>
      </c>
      <c r="C153" t="s">
        <v>705</v>
      </c>
      <c r="D153" t="s">
        <v>32</v>
      </c>
      <c r="E153" t="s">
        <v>61</v>
      </c>
      <c r="F153" t="s">
        <v>1829</v>
      </c>
      <c r="G153" t="s">
        <v>1805</v>
      </c>
      <c r="H153" t="b">
        <v>0</v>
      </c>
      <c r="I153" t="s">
        <v>1799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3">
        <v>21427700000000</v>
      </c>
      <c r="R153">
        <v>78.5</v>
      </c>
      <c r="S153">
        <v>9.6</v>
      </c>
      <c r="T153">
        <v>36.6</v>
      </c>
      <c r="U153">
        <v>328239523</v>
      </c>
      <c r="V153" s="5">
        <f t="shared" si="6"/>
        <v>10810</v>
      </c>
      <c r="W153" s="5">
        <f t="shared" ca="1" si="7"/>
        <v>46116</v>
      </c>
      <c r="X153">
        <f t="shared" ca="1" si="8"/>
        <v>96</v>
      </c>
    </row>
    <row r="154" spans="1:24" x14ac:dyDescent="0.25">
      <c r="A154">
        <v>165</v>
      </c>
      <c r="B154" t="s">
        <v>590</v>
      </c>
      <c r="C154" t="s">
        <v>2307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1799</v>
      </c>
      <c r="J154" t="s">
        <v>2308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3">
        <v>21427700000000</v>
      </c>
      <c r="R154">
        <v>78.5</v>
      </c>
      <c r="S154">
        <v>9.6</v>
      </c>
      <c r="T154">
        <v>36.6</v>
      </c>
      <c r="U154">
        <v>328239523</v>
      </c>
      <c r="V154" s="5">
        <f t="shared" si="6"/>
        <v>15132</v>
      </c>
      <c r="W154" s="5">
        <f t="shared" ca="1" si="7"/>
        <v>46116</v>
      </c>
      <c r="X154">
        <f t="shared" ca="1" si="8"/>
        <v>84</v>
      </c>
    </row>
    <row r="155" spans="1:24" x14ac:dyDescent="0.25">
      <c r="A155">
        <v>165</v>
      </c>
      <c r="B155" t="s">
        <v>103</v>
      </c>
      <c r="C155" t="s">
        <v>1953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1799</v>
      </c>
      <c r="J155" t="s">
        <v>714</v>
      </c>
      <c r="K155" t="s">
        <v>1954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3">
        <v>1839758040766</v>
      </c>
      <c r="R155">
        <v>75.7</v>
      </c>
      <c r="S155">
        <v>14.2</v>
      </c>
      <c r="T155">
        <v>65.099999999999994</v>
      </c>
      <c r="U155">
        <v>212559417</v>
      </c>
      <c r="V155" s="5">
        <f t="shared" si="6"/>
        <v>18264</v>
      </c>
      <c r="W155" s="5">
        <f t="shared" ca="1" si="7"/>
        <v>46116</v>
      </c>
      <c r="X155">
        <f t="shared" ca="1" si="8"/>
        <v>76</v>
      </c>
    </row>
    <row r="156" spans="1:24" x14ac:dyDescent="0.25">
      <c r="A156">
        <v>167</v>
      </c>
      <c r="B156" t="s">
        <v>2491</v>
      </c>
      <c r="C156" t="s">
        <v>2309</v>
      </c>
      <c r="D156" t="s">
        <v>327</v>
      </c>
      <c r="E156" t="s">
        <v>1884</v>
      </c>
      <c r="F156" t="s">
        <v>718</v>
      </c>
      <c r="G156" t="s">
        <v>2491</v>
      </c>
      <c r="H156" t="b">
        <v>1</v>
      </c>
      <c r="I156" t="s">
        <v>1799</v>
      </c>
      <c r="J156" t="s">
        <v>2310</v>
      </c>
      <c r="K156" t="s">
        <v>1955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3">
        <v>1699876578871</v>
      </c>
      <c r="R156">
        <v>72.7</v>
      </c>
      <c r="S156">
        <v>11.4</v>
      </c>
      <c r="T156">
        <v>46.2</v>
      </c>
      <c r="U156">
        <v>144373535</v>
      </c>
      <c r="V156" s="5">
        <f t="shared" si="6"/>
        <v>24178</v>
      </c>
      <c r="W156" s="5">
        <f t="shared" ca="1" si="7"/>
        <v>46116</v>
      </c>
      <c r="X156">
        <f t="shared" ca="1" si="8"/>
        <v>60</v>
      </c>
    </row>
    <row r="157" spans="1:24" x14ac:dyDescent="0.25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1859</v>
      </c>
      <c r="G157" t="s">
        <v>21</v>
      </c>
      <c r="H157" t="b">
        <v>1</v>
      </c>
      <c r="I157" t="s">
        <v>1799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3">
        <v>19910000000000</v>
      </c>
      <c r="R157">
        <v>77</v>
      </c>
      <c r="S157">
        <v>9.4</v>
      </c>
      <c r="T157">
        <v>59.2</v>
      </c>
      <c r="U157">
        <v>1397715000</v>
      </c>
      <c r="V157" s="5">
        <f t="shared" si="6"/>
        <v>30682</v>
      </c>
      <c r="W157" s="5">
        <f t="shared" ca="1" si="7"/>
        <v>46116</v>
      </c>
      <c r="X157">
        <f t="shared" ca="1" si="8"/>
        <v>42</v>
      </c>
    </row>
    <row r="158" spans="1:24" x14ac:dyDescent="0.25">
      <c r="A158">
        <v>167</v>
      </c>
      <c r="B158" t="s">
        <v>2491</v>
      </c>
      <c r="C158" t="s">
        <v>723</v>
      </c>
      <c r="D158" t="s">
        <v>1877</v>
      </c>
      <c r="E158" t="s">
        <v>645</v>
      </c>
      <c r="F158" t="s">
        <v>724</v>
      </c>
      <c r="G158" t="s">
        <v>2491</v>
      </c>
      <c r="H158" t="b">
        <v>1</v>
      </c>
      <c r="I158" t="s">
        <v>1799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3">
        <v>421142267938</v>
      </c>
      <c r="R158">
        <v>77.8</v>
      </c>
      <c r="S158">
        <v>0.1</v>
      </c>
      <c r="T158">
        <v>15.9</v>
      </c>
      <c r="U158">
        <v>9770529</v>
      </c>
      <c r="V158" s="5">
        <f t="shared" si="6"/>
        <v>28378</v>
      </c>
      <c r="W158" s="5">
        <f t="shared" ca="1" si="7"/>
        <v>46116</v>
      </c>
      <c r="X158">
        <f t="shared" ca="1" si="8"/>
        <v>48</v>
      </c>
    </row>
    <row r="159" spans="1:24" x14ac:dyDescent="0.25">
      <c r="A159">
        <v>170</v>
      </c>
      <c r="B159" t="s">
        <v>2491</v>
      </c>
      <c r="C159" t="s">
        <v>727</v>
      </c>
      <c r="D159" t="s">
        <v>32</v>
      </c>
      <c r="E159" t="s">
        <v>592</v>
      </c>
      <c r="F159" t="s">
        <v>728</v>
      </c>
      <c r="G159" t="s">
        <v>2491</v>
      </c>
      <c r="H159" t="b">
        <v>1</v>
      </c>
      <c r="I159" t="s">
        <v>1799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3">
        <v>21427700000000</v>
      </c>
      <c r="R159">
        <v>78.5</v>
      </c>
      <c r="S159">
        <v>9.6</v>
      </c>
      <c r="T159">
        <v>36.6</v>
      </c>
      <c r="U159">
        <v>328239523</v>
      </c>
      <c r="V159" s="5">
        <f t="shared" si="6"/>
        <v>19327</v>
      </c>
      <c r="W159" s="5">
        <f t="shared" ca="1" si="7"/>
        <v>46116</v>
      </c>
      <c r="X159">
        <f t="shared" ca="1" si="8"/>
        <v>73</v>
      </c>
    </row>
    <row r="160" spans="1:24" x14ac:dyDescent="0.25">
      <c r="A160">
        <v>171</v>
      </c>
      <c r="B160" t="s">
        <v>38</v>
      </c>
      <c r="C160" t="s">
        <v>1956</v>
      </c>
      <c r="D160" t="s">
        <v>274</v>
      </c>
      <c r="E160" t="s">
        <v>607</v>
      </c>
      <c r="F160" t="s">
        <v>2311</v>
      </c>
      <c r="G160" t="s">
        <v>38</v>
      </c>
      <c r="H160" t="b">
        <v>1</v>
      </c>
      <c r="I160" t="s">
        <v>1799</v>
      </c>
      <c r="J160" t="s">
        <v>732</v>
      </c>
      <c r="K160" t="s">
        <v>1957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3">
        <v>1392680589329</v>
      </c>
      <c r="R160">
        <v>82.7</v>
      </c>
      <c r="S160">
        <v>23</v>
      </c>
      <c r="T160">
        <v>47.4</v>
      </c>
      <c r="U160">
        <v>25766605</v>
      </c>
      <c r="V160" s="5">
        <f t="shared" si="6"/>
        <v>29176</v>
      </c>
      <c r="W160" s="5">
        <f t="shared" ca="1" si="7"/>
        <v>46116</v>
      </c>
      <c r="X160">
        <f t="shared" ca="1" si="8"/>
        <v>46</v>
      </c>
    </row>
    <row r="161" spans="1:24" x14ac:dyDescent="0.25">
      <c r="A161">
        <v>171</v>
      </c>
      <c r="B161" t="s">
        <v>351</v>
      </c>
      <c r="C161" t="s">
        <v>734</v>
      </c>
      <c r="D161" t="s">
        <v>32</v>
      </c>
      <c r="E161" t="s">
        <v>1958</v>
      </c>
      <c r="F161" t="s">
        <v>1922</v>
      </c>
      <c r="G161" t="s">
        <v>351</v>
      </c>
      <c r="H161" t="b">
        <v>0</v>
      </c>
      <c r="I161" t="s">
        <v>1799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3">
        <v>21427700000000</v>
      </c>
      <c r="R161">
        <v>78.5</v>
      </c>
      <c r="S161">
        <v>9.6</v>
      </c>
      <c r="T161">
        <v>36.6</v>
      </c>
      <c r="U161">
        <v>328239523</v>
      </c>
      <c r="V161" s="5">
        <f t="shared" si="6"/>
        <v>22877</v>
      </c>
      <c r="W161" s="5">
        <f t="shared" ca="1" si="7"/>
        <v>46116</v>
      </c>
      <c r="X161">
        <f t="shared" ca="1" si="8"/>
        <v>63</v>
      </c>
    </row>
    <row r="162" spans="1:24" x14ac:dyDescent="0.25">
      <c r="A162">
        <v>171</v>
      </c>
      <c r="B162" t="s">
        <v>38</v>
      </c>
      <c r="C162" t="s">
        <v>2312</v>
      </c>
      <c r="D162" t="s">
        <v>32</v>
      </c>
      <c r="E162" t="s">
        <v>738</v>
      </c>
      <c r="F162" t="s">
        <v>2313</v>
      </c>
      <c r="G162" t="s">
        <v>38</v>
      </c>
      <c r="H162" t="b">
        <v>1</v>
      </c>
      <c r="I162" t="s">
        <v>1799</v>
      </c>
      <c r="J162" t="s">
        <v>2314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3">
        <v>21427700000000</v>
      </c>
      <c r="R162">
        <v>78.5</v>
      </c>
      <c r="S162">
        <v>9.6</v>
      </c>
      <c r="T162">
        <v>36.6</v>
      </c>
      <c r="U162">
        <v>328239523</v>
      </c>
      <c r="V162" s="5">
        <f t="shared" si="6"/>
        <v>14875</v>
      </c>
      <c r="W162" s="5">
        <f t="shared" ca="1" si="7"/>
        <v>46116</v>
      </c>
      <c r="X162">
        <f t="shared" ca="1" si="8"/>
        <v>85</v>
      </c>
    </row>
    <row r="163" spans="1:24" x14ac:dyDescent="0.25">
      <c r="A163">
        <v>171</v>
      </c>
      <c r="B163" t="s">
        <v>292</v>
      </c>
      <c r="C163" t="s">
        <v>2315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1799</v>
      </c>
      <c r="J163" t="s">
        <v>743</v>
      </c>
      <c r="K163" t="s">
        <v>2316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3">
        <v>21427700000000</v>
      </c>
      <c r="R163">
        <v>78.5</v>
      </c>
      <c r="S163">
        <v>9.6</v>
      </c>
      <c r="T163">
        <v>36.6</v>
      </c>
      <c r="U163">
        <v>328239523</v>
      </c>
      <c r="V163" s="5">
        <f t="shared" si="6"/>
        <v>21614</v>
      </c>
      <c r="W163" s="5">
        <f t="shared" ca="1" si="7"/>
        <v>46116</v>
      </c>
      <c r="X163">
        <f t="shared" ca="1" si="8"/>
        <v>67</v>
      </c>
    </row>
    <row r="164" spans="1:24" x14ac:dyDescent="0.25">
      <c r="A164">
        <v>171</v>
      </c>
      <c r="B164" t="s">
        <v>250</v>
      </c>
      <c r="C164" t="s">
        <v>745</v>
      </c>
      <c r="D164" t="s">
        <v>327</v>
      </c>
      <c r="E164" t="s">
        <v>1959</v>
      </c>
      <c r="F164" t="s">
        <v>449</v>
      </c>
      <c r="G164" t="s">
        <v>250</v>
      </c>
      <c r="H164" t="b">
        <v>1</v>
      </c>
      <c r="I164" t="s">
        <v>1799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3">
        <v>1699876578871</v>
      </c>
      <c r="R164">
        <v>72.7</v>
      </c>
      <c r="S164">
        <v>11.4</v>
      </c>
      <c r="T164">
        <v>46.2</v>
      </c>
      <c r="U164">
        <v>144373535</v>
      </c>
      <c r="V164" s="5">
        <f t="shared" si="6"/>
        <v>17819</v>
      </c>
      <c r="W164" s="5">
        <f t="shared" ca="1" si="7"/>
        <v>46116</v>
      </c>
      <c r="X164">
        <f t="shared" ca="1" si="8"/>
        <v>77</v>
      </c>
    </row>
    <row r="165" spans="1:24" x14ac:dyDescent="0.25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2225</v>
      </c>
      <c r="G165" t="s">
        <v>38</v>
      </c>
      <c r="H165" t="b">
        <v>1</v>
      </c>
      <c r="I165" t="s">
        <v>1799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3">
        <v>372062527489</v>
      </c>
      <c r="R165">
        <v>83.1</v>
      </c>
      <c r="S165">
        <v>13.1</v>
      </c>
      <c r="T165">
        <v>21</v>
      </c>
      <c r="U165">
        <v>5703569</v>
      </c>
      <c r="V165" s="5">
        <f t="shared" si="6"/>
        <v>30029</v>
      </c>
      <c r="W165" s="5">
        <f t="shared" ca="1" si="7"/>
        <v>46116</v>
      </c>
      <c r="X165">
        <f t="shared" ca="1" si="8"/>
        <v>44</v>
      </c>
    </row>
    <row r="166" spans="1:24" x14ac:dyDescent="0.25">
      <c r="A166">
        <v>171</v>
      </c>
      <c r="B166" t="s">
        <v>1800</v>
      </c>
      <c r="C166" t="s">
        <v>2317</v>
      </c>
      <c r="D166" t="s">
        <v>1837</v>
      </c>
      <c r="E166" t="s">
        <v>753</v>
      </c>
      <c r="F166" t="s">
        <v>635</v>
      </c>
      <c r="G166" t="s">
        <v>1800</v>
      </c>
      <c r="H166" t="b">
        <v>0</v>
      </c>
      <c r="I166" t="s">
        <v>1799</v>
      </c>
      <c r="J166" t="s">
        <v>2318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3">
        <v>3845630030824</v>
      </c>
      <c r="R166">
        <v>80.900000000000006</v>
      </c>
      <c r="S166">
        <v>11.5</v>
      </c>
      <c r="T166">
        <v>48.8</v>
      </c>
      <c r="U166">
        <v>83132799</v>
      </c>
      <c r="V166" s="5">
        <f t="shared" si="6"/>
        <v>23669</v>
      </c>
      <c r="W166" s="5">
        <f t="shared" ca="1" si="7"/>
        <v>46116</v>
      </c>
      <c r="X166">
        <f t="shared" ca="1" si="8"/>
        <v>61</v>
      </c>
    </row>
    <row r="167" spans="1:24" x14ac:dyDescent="0.25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1827</v>
      </c>
      <c r="G167" t="s">
        <v>21</v>
      </c>
      <c r="H167" t="b">
        <v>0</v>
      </c>
      <c r="I167" t="s">
        <v>2223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3">
        <v>21427700000000</v>
      </c>
      <c r="R167">
        <v>78.5</v>
      </c>
      <c r="S167">
        <v>9.6</v>
      </c>
      <c r="T167">
        <v>36.6</v>
      </c>
      <c r="U167">
        <v>328239523</v>
      </c>
      <c r="V167" s="5">
        <f t="shared" si="6"/>
        <v>17937</v>
      </c>
      <c r="W167" s="5">
        <f t="shared" ca="1" si="7"/>
        <v>46116</v>
      </c>
      <c r="X167">
        <f t="shared" ca="1" si="8"/>
        <v>77</v>
      </c>
    </row>
    <row r="168" spans="1:24" x14ac:dyDescent="0.25">
      <c r="A168">
        <v>179</v>
      </c>
      <c r="B168" t="s">
        <v>38</v>
      </c>
      <c r="C168" t="s">
        <v>2319</v>
      </c>
      <c r="D168" t="s">
        <v>274</v>
      </c>
      <c r="E168" t="s">
        <v>607</v>
      </c>
      <c r="F168" t="s">
        <v>2311</v>
      </c>
      <c r="G168" t="s">
        <v>38</v>
      </c>
      <c r="H168" t="b">
        <v>1</v>
      </c>
      <c r="I168" t="s">
        <v>1799</v>
      </c>
      <c r="J168" t="s">
        <v>2320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3">
        <v>1392680589329</v>
      </c>
      <c r="R168">
        <v>82.7</v>
      </c>
      <c r="S168">
        <v>23</v>
      </c>
      <c r="T168">
        <v>47.4</v>
      </c>
      <c r="U168">
        <v>25766605</v>
      </c>
      <c r="V168" s="5">
        <f t="shared" si="6"/>
        <v>29206</v>
      </c>
      <c r="W168" s="5">
        <f t="shared" ca="1" si="7"/>
        <v>46116</v>
      </c>
      <c r="X168">
        <f t="shared" ca="1" si="8"/>
        <v>46</v>
      </c>
    </row>
    <row r="169" spans="1:24" x14ac:dyDescent="0.25">
      <c r="A169">
        <v>179</v>
      </c>
      <c r="B169" t="s">
        <v>72</v>
      </c>
      <c r="C169" t="s">
        <v>760</v>
      </c>
      <c r="D169" t="s">
        <v>1960</v>
      </c>
      <c r="E169" t="s">
        <v>1961</v>
      </c>
      <c r="F169" t="s">
        <v>763</v>
      </c>
      <c r="G169" t="s">
        <v>72</v>
      </c>
      <c r="H169" t="b">
        <v>0</v>
      </c>
      <c r="I169" t="s">
        <v>1799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3">
        <v>364701517788</v>
      </c>
      <c r="R169">
        <v>76</v>
      </c>
      <c r="S169">
        <v>12</v>
      </c>
      <c r="T169">
        <v>38.700000000000003</v>
      </c>
      <c r="U169">
        <v>32447385</v>
      </c>
      <c r="V169" s="5">
        <f t="shared" si="6"/>
        <v>15200</v>
      </c>
      <c r="W169" s="5">
        <f t="shared" ca="1" si="7"/>
        <v>46116</v>
      </c>
      <c r="X169">
        <f t="shared" ca="1" si="8"/>
        <v>84</v>
      </c>
    </row>
    <row r="170" spans="1:24" x14ac:dyDescent="0.25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2223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3">
        <v>19910000000000</v>
      </c>
      <c r="R170">
        <v>77</v>
      </c>
      <c r="S170">
        <v>9.4</v>
      </c>
      <c r="T170">
        <v>59.2</v>
      </c>
      <c r="U170">
        <v>1397715000</v>
      </c>
      <c r="V170" s="5">
        <f t="shared" si="6"/>
        <v>23377</v>
      </c>
      <c r="W170" s="5">
        <f t="shared" ca="1" si="7"/>
        <v>46116</v>
      </c>
      <c r="X170">
        <f t="shared" ca="1" si="8"/>
        <v>62</v>
      </c>
    </row>
    <row r="171" spans="1:24" x14ac:dyDescent="0.25">
      <c r="A171">
        <v>182</v>
      </c>
      <c r="B171" t="s">
        <v>292</v>
      </c>
      <c r="C171" t="s">
        <v>770</v>
      </c>
      <c r="D171" t="s">
        <v>32</v>
      </c>
      <c r="E171" t="s">
        <v>1962</v>
      </c>
      <c r="F171" t="s">
        <v>403</v>
      </c>
      <c r="G171" t="s">
        <v>292</v>
      </c>
      <c r="H171" t="b">
        <v>1</v>
      </c>
      <c r="I171" t="s">
        <v>1799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3">
        <v>21427700000000</v>
      </c>
      <c r="R171">
        <v>78.5</v>
      </c>
      <c r="S171">
        <v>9.6</v>
      </c>
      <c r="T171">
        <v>36.6</v>
      </c>
      <c r="U171">
        <v>328239523</v>
      </c>
      <c r="V171" s="5">
        <f t="shared" si="6"/>
        <v>13947</v>
      </c>
      <c r="W171" s="5">
        <f t="shared" ca="1" si="7"/>
        <v>46116</v>
      </c>
      <c r="X171">
        <f t="shared" ca="1" si="8"/>
        <v>88</v>
      </c>
    </row>
    <row r="172" spans="1:24" x14ac:dyDescent="0.25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1799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3">
        <v>19910000000000</v>
      </c>
      <c r="R172">
        <v>77</v>
      </c>
      <c r="S172">
        <v>9.4</v>
      </c>
      <c r="T172">
        <v>59.2</v>
      </c>
      <c r="U172">
        <v>1397715000</v>
      </c>
      <c r="V172" s="5">
        <f t="shared" si="6"/>
        <v>17685</v>
      </c>
      <c r="W172" s="5">
        <f t="shared" ca="1" si="7"/>
        <v>46116</v>
      </c>
      <c r="X172">
        <f t="shared" ca="1" si="8"/>
        <v>77</v>
      </c>
    </row>
    <row r="173" spans="1:24" x14ac:dyDescent="0.25">
      <c r="A173">
        <v>184</v>
      </c>
      <c r="B173" t="s">
        <v>72</v>
      </c>
      <c r="C173" t="s">
        <v>776</v>
      </c>
      <c r="D173" t="s">
        <v>1877</v>
      </c>
      <c r="E173" t="s">
        <v>645</v>
      </c>
      <c r="F173" t="s">
        <v>2231</v>
      </c>
      <c r="G173" t="s">
        <v>72</v>
      </c>
      <c r="H173" t="b">
        <v>1</v>
      </c>
      <c r="I173" t="s">
        <v>1799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3">
        <v>421142267938</v>
      </c>
      <c r="R173">
        <v>77.8</v>
      </c>
      <c r="S173">
        <v>0.1</v>
      </c>
      <c r="T173">
        <v>15.9</v>
      </c>
      <c r="U173">
        <v>9770529</v>
      </c>
      <c r="V173" s="5">
        <f t="shared" si="6"/>
        <v>17908</v>
      </c>
      <c r="W173" s="5">
        <f t="shared" ca="1" si="7"/>
        <v>46116</v>
      </c>
      <c r="X173">
        <f t="shared" ca="1" si="8"/>
        <v>77</v>
      </c>
    </row>
    <row r="174" spans="1:24" x14ac:dyDescent="0.25">
      <c r="A174">
        <v>184</v>
      </c>
      <c r="B174" t="s">
        <v>21</v>
      </c>
      <c r="C174" t="s">
        <v>778</v>
      </c>
      <c r="D174" t="s">
        <v>170</v>
      </c>
      <c r="E174" t="s">
        <v>1963</v>
      </c>
      <c r="F174" t="s">
        <v>1964</v>
      </c>
      <c r="G174" t="s">
        <v>21</v>
      </c>
      <c r="H174" t="b">
        <v>0</v>
      </c>
      <c r="I174" t="s">
        <v>1799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3">
        <v>703082435360</v>
      </c>
      <c r="R174">
        <v>83.6</v>
      </c>
      <c r="S174">
        <v>10.1</v>
      </c>
      <c r="T174">
        <v>28.8</v>
      </c>
      <c r="U174">
        <v>8574832</v>
      </c>
      <c r="V174" s="5">
        <f t="shared" si="6"/>
        <v>15735</v>
      </c>
      <c r="W174" s="5">
        <f t="shared" ca="1" si="7"/>
        <v>46116</v>
      </c>
      <c r="X174">
        <f t="shared" ca="1" si="8"/>
        <v>83</v>
      </c>
    </row>
    <row r="175" spans="1:24" x14ac:dyDescent="0.25">
      <c r="A175">
        <v>184</v>
      </c>
      <c r="B175" t="s">
        <v>168</v>
      </c>
      <c r="C175" t="s">
        <v>783</v>
      </c>
      <c r="D175" t="s">
        <v>2214</v>
      </c>
      <c r="E175" t="s">
        <v>1965</v>
      </c>
      <c r="F175" t="s">
        <v>172</v>
      </c>
      <c r="G175" t="s">
        <v>168</v>
      </c>
      <c r="H175" t="b">
        <v>0</v>
      </c>
      <c r="I175" t="s">
        <v>1799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3">
        <v>2715518274227</v>
      </c>
      <c r="R175">
        <v>82.5</v>
      </c>
      <c r="S175">
        <v>24.2</v>
      </c>
      <c r="T175">
        <v>60.7</v>
      </c>
      <c r="U175">
        <v>67059887</v>
      </c>
      <c r="V175" s="5">
        <f t="shared" si="6"/>
        <v>26155</v>
      </c>
      <c r="W175" s="5">
        <f t="shared" ca="1" si="7"/>
        <v>46116</v>
      </c>
      <c r="X175">
        <f t="shared" ca="1" si="8"/>
        <v>54</v>
      </c>
    </row>
    <row r="176" spans="1:24" x14ac:dyDescent="0.25">
      <c r="A176">
        <v>184</v>
      </c>
      <c r="B176" t="s">
        <v>168</v>
      </c>
      <c r="C176" t="s">
        <v>787</v>
      </c>
      <c r="D176" t="s">
        <v>2214</v>
      </c>
      <c r="E176" t="s">
        <v>1965</v>
      </c>
      <c r="F176" t="s">
        <v>172</v>
      </c>
      <c r="G176" t="s">
        <v>168</v>
      </c>
      <c r="H176" t="b">
        <v>0</v>
      </c>
      <c r="I176" t="s">
        <v>1799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3">
        <v>2715518274227</v>
      </c>
      <c r="R176">
        <v>82.5</v>
      </c>
      <c r="S176">
        <v>24.2</v>
      </c>
      <c r="T176">
        <v>60.7</v>
      </c>
      <c r="U176">
        <v>67059887</v>
      </c>
      <c r="V176" s="5">
        <f t="shared" si="6"/>
        <v>25630</v>
      </c>
      <c r="W176" s="5">
        <f t="shared" ca="1" si="7"/>
        <v>46116</v>
      </c>
      <c r="X176">
        <f t="shared" ca="1" si="8"/>
        <v>56</v>
      </c>
    </row>
    <row r="177" spans="1:24" x14ac:dyDescent="0.25">
      <c r="A177">
        <v>184</v>
      </c>
      <c r="B177" t="s">
        <v>168</v>
      </c>
      <c r="C177" t="s">
        <v>789</v>
      </c>
      <c r="D177" t="s">
        <v>2214</v>
      </c>
      <c r="E177" t="s">
        <v>1965</v>
      </c>
      <c r="F177" t="s">
        <v>172</v>
      </c>
      <c r="G177" t="s">
        <v>168</v>
      </c>
      <c r="H177" t="b">
        <v>0</v>
      </c>
      <c r="I177" t="s">
        <v>2223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3">
        <v>2715518274227</v>
      </c>
      <c r="R177">
        <v>82.5</v>
      </c>
      <c r="S177">
        <v>24.2</v>
      </c>
      <c r="T177">
        <v>60.7</v>
      </c>
      <c r="U177">
        <v>67059887</v>
      </c>
      <c r="V177" s="5">
        <f t="shared" si="6"/>
        <v>24869</v>
      </c>
      <c r="W177" s="5">
        <f t="shared" ca="1" si="7"/>
        <v>46116</v>
      </c>
      <c r="X177">
        <f t="shared" ca="1" si="8"/>
        <v>58</v>
      </c>
    </row>
    <row r="178" spans="1:24" x14ac:dyDescent="0.25">
      <c r="A178">
        <v>184</v>
      </c>
      <c r="B178" t="s">
        <v>2491</v>
      </c>
      <c r="C178" t="s">
        <v>2321</v>
      </c>
      <c r="D178" t="s">
        <v>497</v>
      </c>
      <c r="E178" t="s">
        <v>1923</v>
      </c>
      <c r="F178" t="s">
        <v>1864</v>
      </c>
      <c r="G178" t="s">
        <v>2491</v>
      </c>
      <c r="H178" t="b">
        <v>1</v>
      </c>
      <c r="I178" t="s">
        <v>1799</v>
      </c>
      <c r="J178" t="s">
        <v>793</v>
      </c>
      <c r="K178" t="s">
        <v>1966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3">
        <v>530832908738</v>
      </c>
      <c r="R178">
        <v>82.5</v>
      </c>
      <c r="S178">
        <v>27.9</v>
      </c>
      <c r="T178">
        <v>49.1</v>
      </c>
      <c r="U178">
        <v>10285453</v>
      </c>
      <c r="V178" s="5">
        <f t="shared" si="6"/>
        <v>17302</v>
      </c>
      <c r="W178" s="5">
        <f t="shared" ca="1" si="7"/>
        <v>46116</v>
      </c>
      <c r="X178">
        <f t="shared" ca="1" si="8"/>
        <v>78</v>
      </c>
    </row>
    <row r="179" spans="1:24" x14ac:dyDescent="0.25">
      <c r="A179">
        <v>190</v>
      </c>
      <c r="B179" t="s">
        <v>250</v>
      </c>
      <c r="C179" t="s">
        <v>2322</v>
      </c>
      <c r="D179" t="s">
        <v>327</v>
      </c>
      <c r="E179" t="s">
        <v>1884</v>
      </c>
      <c r="F179" t="s">
        <v>2323</v>
      </c>
      <c r="G179" t="s">
        <v>250</v>
      </c>
      <c r="H179" t="b">
        <v>1</v>
      </c>
      <c r="I179" t="s">
        <v>1799</v>
      </c>
      <c r="J179" t="s">
        <v>2324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3">
        <v>1699876578871</v>
      </c>
      <c r="R179">
        <v>72.7</v>
      </c>
      <c r="S179">
        <v>11.4</v>
      </c>
      <c r="T179">
        <v>46.2</v>
      </c>
      <c r="U179">
        <v>144373535</v>
      </c>
      <c r="V179" s="5">
        <f t="shared" si="6"/>
        <v>21999</v>
      </c>
      <c r="W179" s="5">
        <f t="shared" ca="1" si="7"/>
        <v>46116</v>
      </c>
      <c r="X179">
        <f t="shared" ca="1" si="8"/>
        <v>66</v>
      </c>
    </row>
    <row r="180" spans="1:24" x14ac:dyDescent="0.25">
      <c r="A180">
        <v>190</v>
      </c>
      <c r="B180" t="s">
        <v>2491</v>
      </c>
      <c r="C180" t="s">
        <v>1967</v>
      </c>
      <c r="D180" t="s">
        <v>800</v>
      </c>
      <c r="E180" t="s">
        <v>801</v>
      </c>
      <c r="F180" t="s">
        <v>802</v>
      </c>
      <c r="G180" t="s">
        <v>2491</v>
      </c>
      <c r="H180" t="b">
        <v>1</v>
      </c>
      <c r="I180" t="s">
        <v>1799</v>
      </c>
      <c r="J180" t="s">
        <v>1968</v>
      </c>
      <c r="K180" t="s">
        <v>1809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3">
        <v>2029000000000</v>
      </c>
      <c r="R180">
        <v>82.6</v>
      </c>
      <c r="S180">
        <v>15.6</v>
      </c>
      <c r="T180">
        <v>33.200000000000003</v>
      </c>
      <c r="U180">
        <v>51709098</v>
      </c>
      <c r="V180" s="5">
        <f t="shared" si="6"/>
        <v>23285</v>
      </c>
      <c r="W180" s="5">
        <f t="shared" ca="1" si="7"/>
        <v>46116</v>
      </c>
      <c r="X180">
        <f t="shared" ca="1" si="8"/>
        <v>62</v>
      </c>
    </row>
    <row r="181" spans="1:24" x14ac:dyDescent="0.25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1969</v>
      </c>
      <c r="G181" t="s">
        <v>38</v>
      </c>
      <c r="H181" t="b">
        <v>1</v>
      </c>
      <c r="I181" t="s">
        <v>1799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3">
        <v>19910000000000</v>
      </c>
      <c r="R181">
        <v>77</v>
      </c>
      <c r="S181">
        <v>9.4</v>
      </c>
      <c r="T181">
        <v>59.2</v>
      </c>
      <c r="U181">
        <v>1397715000</v>
      </c>
      <c r="V181" s="5">
        <f t="shared" si="6"/>
        <v>25553</v>
      </c>
      <c r="W181" s="5">
        <f t="shared" ca="1" si="7"/>
        <v>46116</v>
      </c>
      <c r="X181">
        <f t="shared" ca="1" si="8"/>
        <v>56</v>
      </c>
    </row>
    <row r="182" spans="1:24" x14ac:dyDescent="0.25">
      <c r="A182">
        <v>190</v>
      </c>
      <c r="B182" t="s">
        <v>250</v>
      </c>
      <c r="C182" t="s">
        <v>2325</v>
      </c>
      <c r="D182" t="s">
        <v>1837</v>
      </c>
      <c r="E182" t="s">
        <v>810</v>
      </c>
      <c r="F182" t="s">
        <v>250</v>
      </c>
      <c r="G182" t="s">
        <v>250</v>
      </c>
      <c r="H182" t="b">
        <v>0</v>
      </c>
      <c r="I182" t="s">
        <v>1799</v>
      </c>
      <c r="J182" t="s">
        <v>811</v>
      </c>
      <c r="K182" t="s">
        <v>2326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3">
        <v>3845630030824</v>
      </c>
      <c r="R182">
        <v>80.900000000000006</v>
      </c>
      <c r="S182">
        <v>11.5</v>
      </c>
      <c r="T182">
        <v>48.8</v>
      </c>
      <c r="U182">
        <v>83132799</v>
      </c>
      <c r="V182" s="5">
        <f t="shared" si="6"/>
        <v>17029</v>
      </c>
      <c r="W182" s="5">
        <f t="shared" ca="1" si="7"/>
        <v>46116</v>
      </c>
      <c r="X182">
        <f t="shared" ca="1" si="8"/>
        <v>79</v>
      </c>
    </row>
    <row r="183" spans="1:24" x14ac:dyDescent="0.25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1929</v>
      </c>
      <c r="G183" t="s">
        <v>351</v>
      </c>
      <c r="H183" t="b">
        <v>1</v>
      </c>
      <c r="I183" t="s">
        <v>1799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3">
        <v>19910000000000</v>
      </c>
      <c r="R183">
        <v>77</v>
      </c>
      <c r="S183">
        <v>9.4</v>
      </c>
      <c r="T183">
        <v>59.2</v>
      </c>
      <c r="U183">
        <v>1397715000</v>
      </c>
      <c r="V183" s="5">
        <f t="shared" si="6"/>
        <v>21429</v>
      </c>
      <c r="W183" s="5">
        <f t="shared" ca="1" si="7"/>
        <v>46116</v>
      </c>
      <c r="X183">
        <f t="shared" ca="1" si="8"/>
        <v>67</v>
      </c>
    </row>
    <row r="184" spans="1:24" x14ac:dyDescent="0.25">
      <c r="A184">
        <v>195</v>
      </c>
      <c r="B184" t="s">
        <v>38</v>
      </c>
      <c r="C184" t="s">
        <v>2327</v>
      </c>
      <c r="D184" t="s">
        <v>32</v>
      </c>
      <c r="E184" t="s">
        <v>818</v>
      </c>
      <c r="F184" t="s">
        <v>1970</v>
      </c>
      <c r="G184" t="s">
        <v>38</v>
      </c>
      <c r="H184" t="b">
        <v>0</v>
      </c>
      <c r="I184" t="s">
        <v>1799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3">
        <v>21427700000000</v>
      </c>
      <c r="R184">
        <v>78.5</v>
      </c>
      <c r="S184">
        <v>9.6</v>
      </c>
      <c r="T184">
        <v>36.6</v>
      </c>
      <c r="U184">
        <v>328239523</v>
      </c>
      <c r="V184" s="5">
        <f t="shared" si="6"/>
        <v>19200</v>
      </c>
      <c r="W184" s="5">
        <f t="shared" ca="1" si="7"/>
        <v>46116</v>
      </c>
      <c r="X184">
        <f t="shared" ca="1" si="8"/>
        <v>73</v>
      </c>
    </row>
    <row r="185" spans="1:24" x14ac:dyDescent="0.25">
      <c r="A185">
        <v>195</v>
      </c>
      <c r="B185" t="s">
        <v>292</v>
      </c>
      <c r="C185" t="s">
        <v>2328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1799</v>
      </c>
      <c r="J185" t="s">
        <v>824</v>
      </c>
      <c r="K185" t="s">
        <v>2329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3">
        <v>19910000000000</v>
      </c>
      <c r="R185">
        <v>77</v>
      </c>
      <c r="S185">
        <v>9.4</v>
      </c>
      <c r="T185">
        <v>59.2</v>
      </c>
      <c r="U185">
        <v>1397715000</v>
      </c>
      <c r="V185" s="5">
        <f t="shared" si="6"/>
        <v>19238</v>
      </c>
      <c r="W185" s="5">
        <f t="shared" ca="1" si="7"/>
        <v>46116</v>
      </c>
      <c r="X185">
        <f t="shared" ca="1" si="8"/>
        <v>73</v>
      </c>
    </row>
    <row r="186" spans="1:24" x14ac:dyDescent="0.25">
      <c r="A186">
        <v>195</v>
      </c>
      <c r="B186" t="s">
        <v>250</v>
      </c>
      <c r="C186" t="s">
        <v>2330</v>
      </c>
      <c r="D186" t="s">
        <v>105</v>
      </c>
      <c r="E186" t="s">
        <v>827</v>
      </c>
      <c r="F186" t="s">
        <v>1890</v>
      </c>
      <c r="G186" t="s">
        <v>250</v>
      </c>
      <c r="H186" t="b">
        <v>1</v>
      </c>
      <c r="I186" t="s">
        <v>1799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3">
        <v>19910000000000</v>
      </c>
      <c r="R186">
        <v>77</v>
      </c>
      <c r="S186">
        <v>9.4</v>
      </c>
      <c r="T186">
        <v>59.2</v>
      </c>
      <c r="U186">
        <v>1397715000</v>
      </c>
      <c r="V186" s="5">
        <f t="shared" si="6"/>
        <v>20515</v>
      </c>
      <c r="W186" s="5">
        <f t="shared" ca="1" si="7"/>
        <v>46116</v>
      </c>
      <c r="X186">
        <f t="shared" ca="1" si="8"/>
        <v>70</v>
      </c>
    </row>
    <row r="187" spans="1:24" x14ac:dyDescent="0.25">
      <c r="A187">
        <v>195</v>
      </c>
      <c r="B187" t="s">
        <v>103</v>
      </c>
      <c r="C187" t="s">
        <v>1971</v>
      </c>
      <c r="D187" t="s">
        <v>32</v>
      </c>
      <c r="E187" t="s">
        <v>831</v>
      </c>
      <c r="F187" t="s">
        <v>2237</v>
      </c>
      <c r="G187" t="s">
        <v>103</v>
      </c>
      <c r="H187" t="b">
        <v>0</v>
      </c>
      <c r="I187" t="s">
        <v>2223</v>
      </c>
      <c r="J187" t="s">
        <v>1843</v>
      </c>
      <c r="K187" t="s">
        <v>1972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3">
        <v>21427700000000</v>
      </c>
      <c r="R187">
        <v>78.5</v>
      </c>
      <c r="S187">
        <v>9.6</v>
      </c>
      <c r="T187">
        <v>36.6</v>
      </c>
      <c r="U187">
        <v>328239523</v>
      </c>
      <c r="V187" s="5">
        <f t="shared" si="6"/>
        <v>23586</v>
      </c>
      <c r="W187" s="5">
        <f t="shared" ca="1" si="7"/>
        <v>46116</v>
      </c>
      <c r="X187">
        <f t="shared" ca="1" si="8"/>
        <v>61</v>
      </c>
    </row>
    <row r="188" spans="1:24" x14ac:dyDescent="0.25">
      <c r="A188">
        <v>195</v>
      </c>
      <c r="B188" t="s">
        <v>103</v>
      </c>
      <c r="C188" t="s">
        <v>1973</v>
      </c>
      <c r="D188" t="s">
        <v>32</v>
      </c>
      <c r="E188" t="s">
        <v>834</v>
      </c>
      <c r="F188" t="s">
        <v>2237</v>
      </c>
      <c r="G188" t="s">
        <v>103</v>
      </c>
      <c r="H188" t="b">
        <v>0</v>
      </c>
      <c r="I188" t="s">
        <v>2223</v>
      </c>
      <c r="J188" t="s">
        <v>1843</v>
      </c>
      <c r="K188" t="s">
        <v>1974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3">
        <v>21427700000000</v>
      </c>
      <c r="R188">
        <v>78.5</v>
      </c>
      <c r="S188">
        <v>9.6</v>
      </c>
      <c r="T188">
        <v>36.6</v>
      </c>
      <c r="U188">
        <v>328239523</v>
      </c>
      <c r="V188" s="5">
        <f t="shared" si="6"/>
        <v>22129</v>
      </c>
      <c r="W188" s="5">
        <f t="shared" ca="1" si="7"/>
        <v>46116</v>
      </c>
      <c r="X188">
        <f t="shared" ca="1" si="8"/>
        <v>65</v>
      </c>
    </row>
    <row r="189" spans="1:24" x14ac:dyDescent="0.25">
      <c r="A189">
        <v>195</v>
      </c>
      <c r="B189" t="s">
        <v>103</v>
      </c>
      <c r="C189" t="s">
        <v>1975</v>
      </c>
      <c r="D189" t="s">
        <v>32</v>
      </c>
      <c r="E189" t="s">
        <v>61</v>
      </c>
      <c r="F189" t="s">
        <v>2237</v>
      </c>
      <c r="G189" t="s">
        <v>103</v>
      </c>
      <c r="H189" t="b">
        <v>0</v>
      </c>
      <c r="I189" t="s">
        <v>2223</v>
      </c>
      <c r="J189" t="s">
        <v>1843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3">
        <v>21427700000000</v>
      </c>
      <c r="R189">
        <v>78.5</v>
      </c>
      <c r="S189">
        <v>9.6</v>
      </c>
      <c r="T189">
        <v>36.6</v>
      </c>
      <c r="U189">
        <v>328239523</v>
      </c>
      <c r="V189" s="5">
        <f t="shared" si="6"/>
        <v>21576</v>
      </c>
      <c r="W189" s="5">
        <f t="shared" ca="1" si="7"/>
        <v>46116</v>
      </c>
      <c r="X189">
        <f t="shared" ca="1" si="8"/>
        <v>67</v>
      </c>
    </row>
    <row r="190" spans="1:24" x14ac:dyDescent="0.25">
      <c r="A190">
        <v>195</v>
      </c>
      <c r="B190" t="s">
        <v>103</v>
      </c>
      <c r="C190" t="s">
        <v>1976</v>
      </c>
      <c r="D190" t="s">
        <v>32</v>
      </c>
      <c r="E190" t="s">
        <v>839</v>
      </c>
      <c r="F190" t="s">
        <v>2237</v>
      </c>
      <c r="G190" t="s">
        <v>103</v>
      </c>
      <c r="H190" t="b">
        <v>0</v>
      </c>
      <c r="I190" t="s">
        <v>2223</v>
      </c>
      <c r="J190" t="s">
        <v>1843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3">
        <v>21427700000000</v>
      </c>
      <c r="R190">
        <v>78.5</v>
      </c>
      <c r="S190">
        <v>9.6</v>
      </c>
      <c r="T190">
        <v>36.6</v>
      </c>
      <c r="U190">
        <v>328239523</v>
      </c>
      <c r="V190" s="5">
        <f t="shared" si="6"/>
        <v>20804</v>
      </c>
      <c r="W190" s="5">
        <f t="shared" ca="1" si="7"/>
        <v>46116</v>
      </c>
      <c r="X190">
        <f t="shared" ca="1" si="8"/>
        <v>69</v>
      </c>
    </row>
    <row r="191" spans="1:24" x14ac:dyDescent="0.25">
      <c r="A191">
        <v>202</v>
      </c>
      <c r="B191" t="s">
        <v>2491</v>
      </c>
      <c r="C191" t="s">
        <v>2331</v>
      </c>
      <c r="D191" t="s">
        <v>2214</v>
      </c>
      <c r="E191" t="s">
        <v>24</v>
      </c>
      <c r="F191" t="s">
        <v>1864</v>
      </c>
      <c r="G191" t="s">
        <v>2491</v>
      </c>
      <c r="H191" t="b">
        <v>0</v>
      </c>
      <c r="I191" t="s">
        <v>1799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3">
        <v>2715518274227</v>
      </c>
      <c r="R191">
        <v>82.5</v>
      </c>
      <c r="S191">
        <v>24.2</v>
      </c>
      <c r="T191">
        <v>60.7</v>
      </c>
      <c r="U191">
        <v>67059887</v>
      </c>
      <c r="V191" s="5">
        <f t="shared" si="6"/>
        <v>19085</v>
      </c>
      <c r="W191" s="5">
        <f t="shared" ca="1" si="7"/>
        <v>46116</v>
      </c>
      <c r="X191">
        <f t="shared" ca="1" si="8"/>
        <v>74</v>
      </c>
    </row>
    <row r="192" spans="1:24" x14ac:dyDescent="0.25">
      <c r="A192">
        <v>202</v>
      </c>
      <c r="B192" t="s">
        <v>72</v>
      </c>
      <c r="C192" t="s">
        <v>1977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1799</v>
      </c>
      <c r="J192" t="s">
        <v>846</v>
      </c>
      <c r="K192" t="s">
        <v>1828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3">
        <v>1736425629520</v>
      </c>
      <c r="R192">
        <v>81.900000000000006</v>
      </c>
      <c r="S192">
        <v>12.8</v>
      </c>
      <c r="T192">
        <v>24.5</v>
      </c>
      <c r="U192">
        <v>36991981</v>
      </c>
      <c r="V192" s="5">
        <f t="shared" si="6"/>
        <v>10502</v>
      </c>
      <c r="W192" s="5">
        <f t="shared" ca="1" si="7"/>
        <v>46116</v>
      </c>
      <c r="X192">
        <f t="shared" ca="1" si="8"/>
        <v>97</v>
      </c>
    </row>
    <row r="193" spans="1:24" x14ac:dyDescent="0.25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1978</v>
      </c>
      <c r="G193" t="s">
        <v>351</v>
      </c>
      <c r="H193" t="b">
        <v>0</v>
      </c>
      <c r="I193" t="s">
        <v>1799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3">
        <v>703082435360</v>
      </c>
      <c r="R193">
        <v>83.6</v>
      </c>
      <c r="S193">
        <v>10.1</v>
      </c>
      <c r="T193">
        <v>28.8</v>
      </c>
      <c r="U193">
        <v>8574832</v>
      </c>
      <c r="V193" s="5">
        <f t="shared" si="6"/>
        <v>24007</v>
      </c>
      <c r="W193" s="5">
        <f t="shared" ca="1" si="7"/>
        <v>46116</v>
      </c>
      <c r="X193">
        <f t="shared" ca="1" si="8"/>
        <v>60</v>
      </c>
    </row>
    <row r="194" spans="1:24" x14ac:dyDescent="0.25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2332</v>
      </c>
      <c r="G194" t="s">
        <v>38</v>
      </c>
      <c r="H194" t="b">
        <v>1</v>
      </c>
      <c r="I194" t="s">
        <v>1799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3">
        <v>19910000000000</v>
      </c>
      <c r="R194">
        <v>77</v>
      </c>
      <c r="S194">
        <v>9.4</v>
      </c>
      <c r="T194">
        <v>59.2</v>
      </c>
      <c r="U194">
        <v>1397715000</v>
      </c>
      <c r="V194" s="5">
        <f t="shared" si="6"/>
        <v>28904</v>
      </c>
      <c r="W194" s="5">
        <f t="shared" ca="1" si="7"/>
        <v>46116</v>
      </c>
      <c r="X194">
        <f t="shared" ca="1" si="8"/>
        <v>47</v>
      </c>
    </row>
    <row r="195" spans="1:24" x14ac:dyDescent="0.25">
      <c r="A195">
        <v>206</v>
      </c>
      <c r="B195" t="s">
        <v>38</v>
      </c>
      <c r="C195" t="s">
        <v>855</v>
      </c>
      <c r="D195" t="s">
        <v>32</v>
      </c>
      <c r="E195" t="s">
        <v>2333</v>
      </c>
      <c r="F195" t="s">
        <v>857</v>
      </c>
      <c r="G195" t="s">
        <v>38</v>
      </c>
      <c r="H195" t="b">
        <v>1</v>
      </c>
      <c r="I195" t="s">
        <v>1799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3">
        <v>21427700000000</v>
      </c>
      <c r="R195">
        <v>78.5</v>
      </c>
      <c r="S195">
        <v>9.6</v>
      </c>
      <c r="T195">
        <v>36.6</v>
      </c>
      <c r="U195">
        <v>328239523</v>
      </c>
      <c r="V195" s="5">
        <f t="shared" ref="V195:V258" si="9">DATE(M195, N195, O195 )</f>
        <v>29827</v>
      </c>
      <c r="W195" s="5">
        <f t="shared" ref="W195:W258" ca="1" si="10">TODAY()</f>
        <v>46116</v>
      </c>
      <c r="X195">
        <f t="shared" ref="X195:X258" ca="1" si="11">INT(YEARFRAC(V195, W195))</f>
        <v>44</v>
      </c>
    </row>
    <row r="196" spans="1:24" x14ac:dyDescent="0.25">
      <c r="A196">
        <v>206</v>
      </c>
      <c r="B196" t="s">
        <v>250</v>
      </c>
      <c r="C196" t="s">
        <v>1979</v>
      </c>
      <c r="D196" t="s">
        <v>1853</v>
      </c>
      <c r="E196" t="s">
        <v>861</v>
      </c>
      <c r="F196" t="s">
        <v>1980</v>
      </c>
      <c r="G196" t="s">
        <v>250</v>
      </c>
      <c r="H196" t="b">
        <v>1</v>
      </c>
      <c r="I196" t="s">
        <v>1799</v>
      </c>
      <c r="J196" t="s">
        <v>863</v>
      </c>
      <c r="K196" t="s">
        <v>1891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3">
        <v>2827113184696</v>
      </c>
      <c r="R196">
        <v>81.3</v>
      </c>
      <c r="S196">
        <v>25.5</v>
      </c>
      <c r="T196">
        <v>30.6</v>
      </c>
      <c r="U196">
        <v>66834405</v>
      </c>
      <c r="V196" s="5">
        <f t="shared" si="9"/>
        <v>17289</v>
      </c>
      <c r="W196" s="5">
        <f t="shared" ca="1" si="10"/>
        <v>46116</v>
      </c>
      <c r="X196">
        <f t="shared" ca="1" si="11"/>
        <v>78</v>
      </c>
    </row>
    <row r="197" spans="1:24" x14ac:dyDescent="0.25">
      <c r="A197">
        <v>208</v>
      </c>
      <c r="B197" t="s">
        <v>72</v>
      </c>
      <c r="C197" t="s">
        <v>2334</v>
      </c>
      <c r="D197" t="s">
        <v>327</v>
      </c>
      <c r="E197" t="s">
        <v>1884</v>
      </c>
      <c r="F197" t="s">
        <v>1904</v>
      </c>
      <c r="G197" t="s">
        <v>72</v>
      </c>
      <c r="H197" t="b">
        <v>1</v>
      </c>
      <c r="I197" t="s">
        <v>1799</v>
      </c>
      <c r="J197" t="s">
        <v>1981</v>
      </c>
      <c r="K197" t="s">
        <v>1982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3">
        <v>1699876578871</v>
      </c>
      <c r="R197">
        <v>72.7</v>
      </c>
      <c r="S197">
        <v>11.4</v>
      </c>
      <c r="T197">
        <v>46.2</v>
      </c>
      <c r="U197">
        <v>144373535</v>
      </c>
      <c r="V197" s="5">
        <f t="shared" si="9"/>
        <v>24404</v>
      </c>
      <c r="W197" s="5">
        <f t="shared" ca="1" si="10"/>
        <v>46116</v>
      </c>
      <c r="X197">
        <f t="shared" ca="1" si="11"/>
        <v>59</v>
      </c>
    </row>
    <row r="198" spans="1:24" x14ac:dyDescent="0.25">
      <c r="A198">
        <v>208</v>
      </c>
      <c r="B198" t="s">
        <v>72</v>
      </c>
      <c r="C198" t="s">
        <v>2335</v>
      </c>
      <c r="D198" t="s">
        <v>497</v>
      </c>
      <c r="E198" t="s">
        <v>1923</v>
      </c>
      <c r="F198" t="s">
        <v>72</v>
      </c>
      <c r="G198" t="s">
        <v>72</v>
      </c>
      <c r="H198" t="b">
        <v>0</v>
      </c>
      <c r="I198" t="s">
        <v>2223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3">
        <v>530832908738</v>
      </c>
      <c r="R198">
        <v>82.5</v>
      </c>
      <c r="S198">
        <v>27.9</v>
      </c>
      <c r="T198">
        <v>49.1</v>
      </c>
      <c r="U198">
        <v>10285453</v>
      </c>
      <c r="V198" s="5">
        <f t="shared" si="9"/>
        <v>15955</v>
      </c>
      <c r="W198" s="5">
        <f t="shared" ca="1" si="10"/>
        <v>46116</v>
      </c>
      <c r="X198">
        <f t="shared" ca="1" si="11"/>
        <v>82</v>
      </c>
    </row>
    <row r="199" spans="1:24" x14ac:dyDescent="0.25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1983</v>
      </c>
      <c r="G199" t="s">
        <v>292</v>
      </c>
      <c r="H199" t="b">
        <v>1</v>
      </c>
      <c r="I199" t="s">
        <v>1799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3">
        <v>246489245495</v>
      </c>
      <c r="R199">
        <v>79</v>
      </c>
      <c r="S199">
        <v>14.9</v>
      </c>
      <c r="T199">
        <v>46.1</v>
      </c>
      <c r="U199">
        <v>10669709</v>
      </c>
      <c r="V199" s="5">
        <f t="shared" si="9"/>
        <v>27584</v>
      </c>
      <c r="W199" s="5">
        <f t="shared" ca="1" si="10"/>
        <v>46116</v>
      </c>
      <c r="X199">
        <f t="shared" ca="1" si="11"/>
        <v>50</v>
      </c>
    </row>
    <row r="200" spans="1:24" x14ac:dyDescent="0.25">
      <c r="A200">
        <v>208</v>
      </c>
      <c r="B200" t="s">
        <v>1805</v>
      </c>
      <c r="C200" t="s">
        <v>1984</v>
      </c>
      <c r="D200" t="s">
        <v>32</v>
      </c>
      <c r="E200" t="s">
        <v>874</v>
      </c>
      <c r="F200" t="s">
        <v>875</v>
      </c>
      <c r="G200" t="s">
        <v>1805</v>
      </c>
      <c r="H200" t="b">
        <v>1</v>
      </c>
      <c r="I200" t="s">
        <v>1799</v>
      </c>
      <c r="J200" t="s">
        <v>1985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3">
        <v>21427700000000</v>
      </c>
      <c r="R200">
        <v>78.5</v>
      </c>
      <c r="S200">
        <v>9.6</v>
      </c>
      <c r="T200">
        <v>36.6</v>
      </c>
      <c r="U200">
        <v>328239523</v>
      </c>
      <c r="V200" s="5">
        <f t="shared" si="9"/>
        <v>15042</v>
      </c>
      <c r="W200" s="5">
        <f t="shared" ca="1" si="10"/>
        <v>46116</v>
      </c>
      <c r="X200">
        <f t="shared" ca="1" si="11"/>
        <v>85</v>
      </c>
    </row>
    <row r="201" spans="1:24" x14ac:dyDescent="0.25">
      <c r="A201">
        <v>208</v>
      </c>
      <c r="B201" t="s">
        <v>38</v>
      </c>
      <c r="C201" t="s">
        <v>1986</v>
      </c>
      <c r="D201" t="s">
        <v>74</v>
      </c>
      <c r="E201" t="s">
        <v>878</v>
      </c>
      <c r="F201" t="s">
        <v>2336</v>
      </c>
      <c r="G201" t="s">
        <v>38</v>
      </c>
      <c r="H201" t="b">
        <v>0</v>
      </c>
      <c r="I201" t="s">
        <v>1799</v>
      </c>
      <c r="J201" t="s">
        <v>1987</v>
      </c>
      <c r="K201" t="s">
        <v>1988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3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 s="5">
        <f t="shared" si="9"/>
        <v>16642</v>
      </c>
      <c r="W201" s="5">
        <f t="shared" ca="1" si="10"/>
        <v>46116</v>
      </c>
      <c r="X201">
        <f t="shared" ca="1" si="11"/>
        <v>80</v>
      </c>
    </row>
    <row r="202" spans="1:24" x14ac:dyDescent="0.25">
      <c r="A202">
        <v>208</v>
      </c>
      <c r="B202" t="s">
        <v>2491</v>
      </c>
      <c r="C202" t="s">
        <v>882</v>
      </c>
      <c r="D202" t="s">
        <v>32</v>
      </c>
      <c r="E202" t="s">
        <v>883</v>
      </c>
      <c r="F202" t="s">
        <v>302</v>
      </c>
      <c r="G202" t="s">
        <v>2491</v>
      </c>
      <c r="H202" t="b">
        <v>1</v>
      </c>
      <c r="I202" t="s">
        <v>1799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3">
        <v>21427700000000</v>
      </c>
      <c r="R202">
        <v>78.5</v>
      </c>
      <c r="S202">
        <v>9.6</v>
      </c>
      <c r="T202">
        <v>36.6</v>
      </c>
      <c r="U202">
        <v>328239523</v>
      </c>
      <c r="V202" s="5">
        <f t="shared" si="9"/>
        <v>13725</v>
      </c>
      <c r="W202" s="5">
        <f t="shared" ca="1" si="10"/>
        <v>46116</v>
      </c>
      <c r="X202">
        <f t="shared" ca="1" si="11"/>
        <v>88</v>
      </c>
    </row>
    <row r="203" spans="1:24" x14ac:dyDescent="0.25">
      <c r="A203">
        <v>208</v>
      </c>
      <c r="B203" t="s">
        <v>21</v>
      </c>
      <c r="C203" t="s">
        <v>1989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1799</v>
      </c>
      <c r="J203" t="s">
        <v>1990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3">
        <v>21427700000000</v>
      </c>
      <c r="R203">
        <v>78.5</v>
      </c>
      <c r="S203">
        <v>9.6</v>
      </c>
      <c r="T203">
        <v>36.6</v>
      </c>
      <c r="U203">
        <v>328239523</v>
      </c>
      <c r="V203" s="5">
        <f t="shared" si="9"/>
        <v>21916</v>
      </c>
      <c r="W203" s="5">
        <f t="shared" ca="1" si="10"/>
        <v>46116</v>
      </c>
      <c r="X203">
        <f t="shared" ca="1" si="11"/>
        <v>66</v>
      </c>
    </row>
    <row r="204" spans="1:24" x14ac:dyDescent="0.25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1799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3">
        <v>21427700000000</v>
      </c>
      <c r="R204">
        <v>78.5</v>
      </c>
      <c r="S204">
        <v>9.6</v>
      </c>
      <c r="T204">
        <v>36.6</v>
      </c>
      <c r="U204">
        <v>328239523</v>
      </c>
      <c r="V204" s="5">
        <f t="shared" si="9"/>
        <v>18716</v>
      </c>
      <c r="W204" s="5">
        <f t="shared" ca="1" si="10"/>
        <v>46116</v>
      </c>
      <c r="X204">
        <f t="shared" ca="1" si="11"/>
        <v>75</v>
      </c>
    </row>
    <row r="205" spans="1:24" x14ac:dyDescent="0.25">
      <c r="A205">
        <v>215</v>
      </c>
      <c r="B205" t="s">
        <v>1868</v>
      </c>
      <c r="C205" t="s">
        <v>891</v>
      </c>
      <c r="D205" t="s">
        <v>170</v>
      </c>
      <c r="E205" t="s">
        <v>892</v>
      </c>
      <c r="F205" t="s">
        <v>1869</v>
      </c>
      <c r="G205" t="s">
        <v>1868</v>
      </c>
      <c r="H205" t="b">
        <v>1</v>
      </c>
      <c r="I205" t="s">
        <v>1799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3">
        <v>703082435360</v>
      </c>
      <c r="R205">
        <v>83.6</v>
      </c>
      <c r="S205">
        <v>10.1</v>
      </c>
      <c r="T205">
        <v>28.8</v>
      </c>
      <c r="U205">
        <v>8574832</v>
      </c>
      <c r="V205" s="5">
        <f t="shared" si="9"/>
        <v>20827</v>
      </c>
      <c r="W205" s="5">
        <f t="shared" ca="1" si="10"/>
        <v>46116</v>
      </c>
      <c r="X205">
        <f t="shared" ca="1" si="11"/>
        <v>69</v>
      </c>
    </row>
    <row r="206" spans="1:24" x14ac:dyDescent="0.25">
      <c r="A206">
        <v>215</v>
      </c>
      <c r="B206" t="s">
        <v>462</v>
      </c>
      <c r="C206" t="s">
        <v>895</v>
      </c>
      <c r="D206" t="s">
        <v>1837</v>
      </c>
      <c r="E206" t="s">
        <v>1991</v>
      </c>
      <c r="F206" t="s">
        <v>465</v>
      </c>
      <c r="G206" t="s">
        <v>462</v>
      </c>
      <c r="H206" t="b">
        <v>0</v>
      </c>
      <c r="I206" t="s">
        <v>1799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3">
        <v>3845630030824</v>
      </c>
      <c r="R206">
        <v>80.900000000000006</v>
      </c>
      <c r="S206">
        <v>11.5</v>
      </c>
      <c r="T206">
        <v>48.8</v>
      </c>
      <c r="U206">
        <v>83132799</v>
      </c>
      <c r="V206" s="5">
        <f t="shared" si="9"/>
        <v>24660</v>
      </c>
      <c r="W206" s="5">
        <f t="shared" ca="1" si="10"/>
        <v>46116</v>
      </c>
      <c r="X206">
        <f t="shared" ca="1" si="11"/>
        <v>58</v>
      </c>
    </row>
    <row r="207" spans="1:24" x14ac:dyDescent="0.25">
      <c r="A207">
        <v>215</v>
      </c>
      <c r="B207" t="s">
        <v>103</v>
      </c>
      <c r="C207" t="s">
        <v>1992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1799</v>
      </c>
      <c r="J207" t="s">
        <v>1993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3">
        <v>1736425629520</v>
      </c>
      <c r="R207">
        <v>81.900000000000006</v>
      </c>
      <c r="S207">
        <v>12.8</v>
      </c>
      <c r="T207">
        <v>24.5</v>
      </c>
      <c r="U207">
        <v>36991981</v>
      </c>
      <c r="V207" s="5">
        <f t="shared" si="9"/>
        <v>18332</v>
      </c>
      <c r="W207" s="5">
        <f t="shared" ca="1" si="10"/>
        <v>46116</v>
      </c>
      <c r="X207">
        <f t="shared" ca="1" si="11"/>
        <v>76</v>
      </c>
    </row>
    <row r="208" spans="1:24" x14ac:dyDescent="0.25">
      <c r="A208">
        <v>215</v>
      </c>
      <c r="B208" t="s">
        <v>250</v>
      </c>
      <c r="C208" t="s">
        <v>2337</v>
      </c>
      <c r="D208" t="s">
        <v>105</v>
      </c>
      <c r="E208" t="s">
        <v>903</v>
      </c>
      <c r="F208" t="s">
        <v>1994</v>
      </c>
      <c r="G208" t="s">
        <v>250</v>
      </c>
      <c r="H208" t="b">
        <v>1</v>
      </c>
      <c r="I208" t="s">
        <v>1799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3">
        <v>19910000000000</v>
      </c>
      <c r="R208">
        <v>77</v>
      </c>
      <c r="S208">
        <v>9.4</v>
      </c>
      <c r="T208">
        <v>59.2</v>
      </c>
      <c r="U208">
        <v>1397715000</v>
      </c>
      <c r="V208" s="5">
        <f t="shared" si="9"/>
        <v>24162</v>
      </c>
      <c r="W208" s="5">
        <f t="shared" ca="1" si="10"/>
        <v>46116</v>
      </c>
      <c r="X208">
        <f t="shared" ca="1" si="11"/>
        <v>60</v>
      </c>
    </row>
    <row r="209" spans="1:24" x14ac:dyDescent="0.25">
      <c r="A209">
        <v>220</v>
      </c>
      <c r="B209" t="s">
        <v>103</v>
      </c>
      <c r="C209" t="s">
        <v>2338</v>
      </c>
      <c r="D209" t="s">
        <v>1853</v>
      </c>
      <c r="E209" t="s">
        <v>227</v>
      </c>
      <c r="F209" t="s">
        <v>907</v>
      </c>
      <c r="G209" t="s">
        <v>103</v>
      </c>
      <c r="H209" t="b">
        <v>0</v>
      </c>
      <c r="I209" t="s">
        <v>1799</v>
      </c>
      <c r="J209" t="s">
        <v>908</v>
      </c>
      <c r="K209" t="s">
        <v>2339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3">
        <v>2827113184696</v>
      </c>
      <c r="R209">
        <v>81.3</v>
      </c>
      <c r="S209">
        <v>25.5</v>
      </c>
      <c r="T209">
        <v>30.6</v>
      </c>
      <c r="U209">
        <v>66834405</v>
      </c>
      <c r="V209" s="5">
        <f t="shared" si="9"/>
        <v>20090</v>
      </c>
      <c r="W209" s="5">
        <f t="shared" ca="1" si="10"/>
        <v>46116</v>
      </c>
      <c r="X209">
        <f t="shared" ca="1" si="11"/>
        <v>71</v>
      </c>
    </row>
    <row r="210" spans="1:24" x14ac:dyDescent="0.25">
      <c r="A210">
        <v>220</v>
      </c>
      <c r="B210" t="s">
        <v>103</v>
      </c>
      <c r="C210" t="s">
        <v>910</v>
      </c>
      <c r="D210" t="s">
        <v>1853</v>
      </c>
      <c r="E210" t="s">
        <v>911</v>
      </c>
      <c r="F210" t="s">
        <v>907</v>
      </c>
      <c r="G210" t="s">
        <v>103</v>
      </c>
      <c r="H210" t="b">
        <v>0</v>
      </c>
      <c r="I210" t="s">
        <v>1799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3">
        <v>2827113184696</v>
      </c>
      <c r="R210">
        <v>81.3</v>
      </c>
      <c r="S210">
        <v>25.5</v>
      </c>
      <c r="T210">
        <v>30.6</v>
      </c>
      <c r="U210">
        <v>66834405</v>
      </c>
      <c r="V210" s="5">
        <f t="shared" si="9"/>
        <v>21916</v>
      </c>
      <c r="W210" s="5">
        <f t="shared" ca="1" si="10"/>
        <v>46116</v>
      </c>
      <c r="X210">
        <f t="shared" ca="1" si="11"/>
        <v>66</v>
      </c>
    </row>
    <row r="211" spans="1:24" x14ac:dyDescent="0.25">
      <c r="A211">
        <v>220</v>
      </c>
      <c r="B211" t="s">
        <v>103</v>
      </c>
      <c r="C211" t="s">
        <v>913</v>
      </c>
      <c r="D211" t="s">
        <v>1853</v>
      </c>
      <c r="E211" t="s">
        <v>1995</v>
      </c>
      <c r="F211" t="s">
        <v>907</v>
      </c>
      <c r="G211" t="s">
        <v>103</v>
      </c>
      <c r="H211" t="b">
        <v>0</v>
      </c>
      <c r="I211" t="s">
        <v>2223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3">
        <v>2827113184696</v>
      </c>
      <c r="R211">
        <v>81.3</v>
      </c>
      <c r="S211">
        <v>25.5</v>
      </c>
      <c r="T211">
        <v>30.6</v>
      </c>
      <c r="U211">
        <v>66834405</v>
      </c>
      <c r="V211" s="5">
        <f t="shared" si="9"/>
        <v>19151</v>
      </c>
      <c r="W211" s="5">
        <f t="shared" ca="1" si="10"/>
        <v>46116</v>
      </c>
      <c r="X211">
        <f t="shared" ca="1" si="11"/>
        <v>73</v>
      </c>
    </row>
    <row r="212" spans="1:24" x14ac:dyDescent="0.25">
      <c r="A212">
        <v>223</v>
      </c>
      <c r="B212" t="s">
        <v>21</v>
      </c>
      <c r="C212" t="s">
        <v>916</v>
      </c>
      <c r="D212" t="s">
        <v>327</v>
      </c>
      <c r="E212" t="s">
        <v>1996</v>
      </c>
      <c r="F212" t="s">
        <v>1997</v>
      </c>
      <c r="G212" t="s">
        <v>21</v>
      </c>
      <c r="H212" t="b">
        <v>1</v>
      </c>
      <c r="I212" t="s">
        <v>2223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3">
        <v>1699876578871</v>
      </c>
      <c r="R212">
        <v>72.7</v>
      </c>
      <c r="S212">
        <v>11.4</v>
      </c>
      <c r="T212">
        <v>46.2</v>
      </c>
      <c r="U212">
        <v>144373535</v>
      </c>
      <c r="V212" s="5">
        <f t="shared" si="9"/>
        <v>27683</v>
      </c>
      <c r="W212" s="5">
        <f t="shared" ca="1" si="10"/>
        <v>46116</v>
      </c>
      <c r="X212">
        <f t="shared" ca="1" si="11"/>
        <v>50</v>
      </c>
    </row>
    <row r="213" spans="1:24" x14ac:dyDescent="0.25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1799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3">
        <v>21427700000000</v>
      </c>
      <c r="R213">
        <v>78.5</v>
      </c>
      <c r="S213">
        <v>9.6</v>
      </c>
      <c r="T213">
        <v>36.6</v>
      </c>
      <c r="U213">
        <v>328239523</v>
      </c>
      <c r="V213" s="5">
        <f t="shared" si="9"/>
        <v>18808</v>
      </c>
      <c r="W213" s="5">
        <f t="shared" ca="1" si="10"/>
        <v>46116</v>
      </c>
      <c r="X213">
        <f t="shared" ca="1" si="11"/>
        <v>74</v>
      </c>
    </row>
    <row r="214" spans="1:24" x14ac:dyDescent="0.25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1859</v>
      </c>
      <c r="G214" t="s">
        <v>38</v>
      </c>
      <c r="H214" t="b">
        <v>1</v>
      </c>
      <c r="I214" t="s">
        <v>1799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3">
        <v>19910000000000</v>
      </c>
      <c r="R214">
        <v>77</v>
      </c>
      <c r="S214">
        <v>9.4</v>
      </c>
      <c r="T214">
        <v>59.2</v>
      </c>
      <c r="U214">
        <v>1397715000</v>
      </c>
      <c r="V214" s="5">
        <f t="shared" si="9"/>
        <v>27098</v>
      </c>
      <c r="W214" s="5">
        <f t="shared" ca="1" si="10"/>
        <v>46116</v>
      </c>
      <c r="X214">
        <f t="shared" ca="1" si="11"/>
        <v>52</v>
      </c>
    </row>
    <row r="215" spans="1:24" x14ac:dyDescent="0.25">
      <c r="A215">
        <v>223</v>
      </c>
      <c r="B215" t="s">
        <v>38</v>
      </c>
      <c r="C215" t="s">
        <v>1998</v>
      </c>
      <c r="D215" t="s">
        <v>32</v>
      </c>
      <c r="E215" t="s">
        <v>2333</v>
      </c>
      <c r="F215" t="s">
        <v>2225</v>
      </c>
      <c r="G215" t="s">
        <v>38</v>
      </c>
      <c r="H215" t="b">
        <v>1</v>
      </c>
      <c r="I215" t="s">
        <v>1799</v>
      </c>
      <c r="J215" t="s">
        <v>1999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3">
        <v>21427700000000</v>
      </c>
      <c r="R215">
        <v>78.5</v>
      </c>
      <c r="S215">
        <v>9.6</v>
      </c>
      <c r="T215">
        <v>36.6</v>
      </c>
      <c r="U215">
        <v>328239523</v>
      </c>
      <c r="V215" s="5">
        <f t="shared" si="9"/>
        <v>30824</v>
      </c>
      <c r="W215" s="5">
        <f t="shared" ca="1" si="10"/>
        <v>46116</v>
      </c>
      <c r="X215">
        <f t="shared" ca="1" si="11"/>
        <v>41</v>
      </c>
    </row>
    <row r="216" spans="1:24" x14ac:dyDescent="0.25">
      <c r="A216">
        <v>223</v>
      </c>
      <c r="B216" t="s">
        <v>38</v>
      </c>
      <c r="C216" t="s">
        <v>2000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1799</v>
      </c>
      <c r="J216" t="s">
        <v>2001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3">
        <v>21427700000000</v>
      </c>
      <c r="R216">
        <v>78.5</v>
      </c>
      <c r="S216">
        <v>9.6</v>
      </c>
      <c r="T216">
        <v>36.6</v>
      </c>
      <c r="U216">
        <v>328239523</v>
      </c>
      <c r="V216" s="5">
        <f t="shared" si="9"/>
        <v>24644</v>
      </c>
      <c r="W216" s="5">
        <f t="shared" ca="1" si="10"/>
        <v>46116</v>
      </c>
      <c r="X216">
        <f t="shared" ca="1" si="11"/>
        <v>58</v>
      </c>
    </row>
    <row r="217" spans="1:24" x14ac:dyDescent="0.25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1799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3">
        <v>19910000000000</v>
      </c>
      <c r="R217">
        <v>77</v>
      </c>
      <c r="S217">
        <v>9.4</v>
      </c>
      <c r="T217">
        <v>59.2</v>
      </c>
      <c r="U217">
        <v>1397715000</v>
      </c>
      <c r="V217" s="5">
        <f t="shared" si="9"/>
        <v>21551</v>
      </c>
      <c r="W217" s="5">
        <f t="shared" ca="1" si="10"/>
        <v>46116</v>
      </c>
      <c r="X217">
        <f t="shared" ca="1" si="11"/>
        <v>67</v>
      </c>
    </row>
    <row r="218" spans="1:24" x14ac:dyDescent="0.25">
      <c r="A218">
        <v>223</v>
      </c>
      <c r="B218" t="s">
        <v>292</v>
      </c>
      <c r="C218" t="s">
        <v>2340</v>
      </c>
      <c r="D218" t="s">
        <v>1853</v>
      </c>
      <c r="E218" t="s">
        <v>227</v>
      </c>
      <c r="F218" t="s">
        <v>403</v>
      </c>
      <c r="G218" t="s">
        <v>292</v>
      </c>
      <c r="H218" t="b">
        <v>0</v>
      </c>
      <c r="I218" t="s">
        <v>2223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3">
        <v>2827113184696</v>
      </c>
      <c r="R218">
        <v>81.3</v>
      </c>
      <c r="S218">
        <v>25.5</v>
      </c>
      <c r="T218">
        <v>30.6</v>
      </c>
      <c r="U218">
        <v>66834405</v>
      </c>
      <c r="V218" s="5">
        <f t="shared" si="9"/>
        <v>18629</v>
      </c>
      <c r="W218" s="5">
        <f t="shared" ca="1" si="10"/>
        <v>46116</v>
      </c>
      <c r="X218">
        <f t="shared" ca="1" si="11"/>
        <v>75</v>
      </c>
    </row>
    <row r="219" spans="1:24" x14ac:dyDescent="0.25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1890</v>
      </c>
      <c r="G219" t="s">
        <v>250</v>
      </c>
      <c r="H219" t="b">
        <v>1</v>
      </c>
      <c r="I219" t="s">
        <v>1799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3">
        <v>19910000000000</v>
      </c>
      <c r="R219">
        <v>77</v>
      </c>
      <c r="S219">
        <v>9.4</v>
      </c>
      <c r="T219">
        <v>59.2</v>
      </c>
      <c r="U219">
        <v>1397715000</v>
      </c>
      <c r="V219" s="5">
        <f t="shared" si="9"/>
        <v>25934</v>
      </c>
      <c r="W219" s="5">
        <f t="shared" ca="1" si="10"/>
        <v>46116</v>
      </c>
      <c r="X219">
        <f t="shared" ca="1" si="11"/>
        <v>55</v>
      </c>
    </row>
    <row r="220" spans="1:24" x14ac:dyDescent="0.25">
      <c r="A220">
        <v>230</v>
      </c>
      <c r="B220" t="s">
        <v>21</v>
      </c>
      <c r="C220" t="s">
        <v>2002</v>
      </c>
      <c r="D220" t="s">
        <v>1837</v>
      </c>
      <c r="E220" t="s">
        <v>1991</v>
      </c>
      <c r="F220" t="s">
        <v>944</v>
      </c>
      <c r="G220" t="s">
        <v>21</v>
      </c>
      <c r="H220" t="b">
        <v>0</v>
      </c>
      <c r="I220" t="s">
        <v>1799</v>
      </c>
      <c r="J220" t="s">
        <v>897</v>
      </c>
      <c r="K220" t="s">
        <v>1809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3">
        <v>3845630030824</v>
      </c>
      <c r="R220">
        <v>80.900000000000006</v>
      </c>
      <c r="S220">
        <v>11.5</v>
      </c>
      <c r="T220">
        <v>48.8</v>
      </c>
      <c r="U220">
        <v>83132799</v>
      </c>
      <c r="V220" s="5">
        <f t="shared" si="9"/>
        <v>15808</v>
      </c>
      <c r="W220" s="5">
        <f t="shared" ca="1" si="10"/>
        <v>46116</v>
      </c>
      <c r="X220">
        <f t="shared" ca="1" si="11"/>
        <v>82</v>
      </c>
    </row>
    <row r="221" spans="1:24" x14ac:dyDescent="0.25">
      <c r="A221">
        <v>232</v>
      </c>
      <c r="B221" t="s">
        <v>2491</v>
      </c>
      <c r="C221" t="s">
        <v>945</v>
      </c>
      <c r="D221" t="s">
        <v>32</v>
      </c>
      <c r="E221" t="s">
        <v>61</v>
      </c>
      <c r="F221" t="s">
        <v>802</v>
      </c>
      <c r="G221" t="s">
        <v>2491</v>
      </c>
      <c r="H221" t="b">
        <v>1</v>
      </c>
      <c r="I221" t="s">
        <v>1799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3">
        <v>21427700000000</v>
      </c>
      <c r="R221">
        <v>78.5</v>
      </c>
      <c r="S221">
        <v>9.6</v>
      </c>
      <c r="T221">
        <v>36.6</v>
      </c>
      <c r="U221">
        <v>328239523</v>
      </c>
      <c r="V221" s="5">
        <f t="shared" si="9"/>
        <v>18840</v>
      </c>
      <c r="W221" s="5">
        <f t="shared" ca="1" si="10"/>
        <v>46116</v>
      </c>
      <c r="X221">
        <f t="shared" ca="1" si="11"/>
        <v>74</v>
      </c>
    </row>
    <row r="222" spans="1:24" x14ac:dyDescent="0.25">
      <c r="A222">
        <v>232</v>
      </c>
      <c r="B222" t="s">
        <v>2491</v>
      </c>
      <c r="C222" t="s">
        <v>2003</v>
      </c>
      <c r="D222" t="s">
        <v>949</v>
      </c>
      <c r="E222" t="s">
        <v>950</v>
      </c>
      <c r="F222" t="s">
        <v>1864</v>
      </c>
      <c r="G222" t="s">
        <v>2491</v>
      </c>
      <c r="H222" t="b">
        <v>1</v>
      </c>
      <c r="I222" t="s">
        <v>1799</v>
      </c>
      <c r="J222" t="s">
        <v>951</v>
      </c>
      <c r="K222" t="s">
        <v>2004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3">
        <v>206928765544</v>
      </c>
      <c r="R222">
        <v>81.900000000000006</v>
      </c>
      <c r="S222">
        <v>29</v>
      </c>
      <c r="T222">
        <v>34.6</v>
      </c>
      <c r="U222">
        <v>4841000</v>
      </c>
      <c r="V222" s="5">
        <f t="shared" si="9"/>
        <v>20246</v>
      </c>
      <c r="W222" s="5">
        <f t="shared" ca="1" si="10"/>
        <v>46116</v>
      </c>
      <c r="X222">
        <f t="shared" ca="1" si="11"/>
        <v>70</v>
      </c>
    </row>
    <row r="223" spans="1:24" x14ac:dyDescent="0.25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2341</v>
      </c>
      <c r="G223" t="s">
        <v>103</v>
      </c>
      <c r="H223" t="b">
        <v>0</v>
      </c>
      <c r="I223" t="s">
        <v>1799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3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 s="5">
        <f t="shared" si="9"/>
        <v>20056</v>
      </c>
      <c r="W223" s="5">
        <f t="shared" ca="1" si="10"/>
        <v>46116</v>
      </c>
      <c r="X223">
        <f t="shared" ca="1" si="11"/>
        <v>71</v>
      </c>
    </row>
    <row r="224" spans="1:24" x14ac:dyDescent="0.25">
      <c r="A224">
        <v>232</v>
      </c>
      <c r="B224" t="s">
        <v>38</v>
      </c>
      <c r="C224" t="s">
        <v>2342</v>
      </c>
      <c r="D224" t="s">
        <v>1837</v>
      </c>
      <c r="E224" t="s">
        <v>959</v>
      </c>
      <c r="F224" t="s">
        <v>2311</v>
      </c>
      <c r="G224" t="s">
        <v>38</v>
      </c>
      <c r="H224" t="b">
        <v>1</v>
      </c>
      <c r="I224" t="s">
        <v>1799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3">
        <v>3845630030824</v>
      </c>
      <c r="R224">
        <v>80.900000000000006</v>
      </c>
      <c r="S224">
        <v>11.5</v>
      </c>
      <c r="T224">
        <v>48.8</v>
      </c>
      <c r="U224">
        <v>83132799</v>
      </c>
      <c r="V224" s="5">
        <f t="shared" si="9"/>
        <v>16092</v>
      </c>
      <c r="W224" s="5">
        <f t="shared" ca="1" si="10"/>
        <v>46116</v>
      </c>
      <c r="X224">
        <f t="shared" ca="1" si="11"/>
        <v>82</v>
      </c>
    </row>
    <row r="225" spans="1:24" x14ac:dyDescent="0.25">
      <c r="A225">
        <v>232</v>
      </c>
      <c r="B225" t="s">
        <v>103</v>
      </c>
      <c r="C225" t="s">
        <v>2343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1799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3">
        <v>703082435360</v>
      </c>
      <c r="R225">
        <v>83.6</v>
      </c>
      <c r="S225">
        <v>10.1</v>
      </c>
      <c r="T225">
        <v>28.8</v>
      </c>
      <c r="U225">
        <v>8574832</v>
      </c>
      <c r="V225" s="5">
        <f t="shared" si="9"/>
        <v>17533</v>
      </c>
      <c r="W225" s="5">
        <f t="shared" ca="1" si="10"/>
        <v>46116</v>
      </c>
      <c r="X225">
        <f t="shared" ca="1" si="11"/>
        <v>78</v>
      </c>
    </row>
    <row r="226" spans="1:24" x14ac:dyDescent="0.25">
      <c r="A226">
        <v>232</v>
      </c>
      <c r="B226" t="s">
        <v>462</v>
      </c>
      <c r="C226" t="s">
        <v>2005</v>
      </c>
      <c r="D226" t="s">
        <v>967</v>
      </c>
      <c r="E226" t="s">
        <v>2006</v>
      </c>
      <c r="F226" t="s">
        <v>465</v>
      </c>
      <c r="G226" t="s">
        <v>462</v>
      </c>
      <c r="H226" t="b">
        <v>1</v>
      </c>
      <c r="I226" t="s">
        <v>1799</v>
      </c>
      <c r="J226" t="s">
        <v>969</v>
      </c>
      <c r="K226" t="s">
        <v>2007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3">
        <v>376795508680</v>
      </c>
      <c r="R226">
        <v>71.099999999999994</v>
      </c>
      <c r="S226">
        <v>14</v>
      </c>
      <c r="T226">
        <v>43.1</v>
      </c>
      <c r="U226">
        <v>108116615</v>
      </c>
      <c r="V226" s="5">
        <f t="shared" si="9"/>
        <v>18245</v>
      </c>
      <c r="W226" s="5">
        <f t="shared" ca="1" si="10"/>
        <v>46116</v>
      </c>
      <c r="X226">
        <f t="shared" ca="1" si="11"/>
        <v>76</v>
      </c>
    </row>
    <row r="227" spans="1:24" x14ac:dyDescent="0.25">
      <c r="A227">
        <v>232</v>
      </c>
      <c r="B227" t="s">
        <v>38</v>
      </c>
      <c r="C227" t="s">
        <v>2344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1799</v>
      </c>
      <c r="J227" t="s">
        <v>2008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3">
        <v>21427700000000</v>
      </c>
      <c r="R227">
        <v>78.5</v>
      </c>
      <c r="S227">
        <v>9.6</v>
      </c>
      <c r="T227">
        <v>36.6</v>
      </c>
      <c r="U227">
        <v>328239523</v>
      </c>
      <c r="V227" s="5">
        <f t="shared" si="9"/>
        <v>20362</v>
      </c>
      <c r="W227" s="5">
        <f t="shared" ca="1" si="10"/>
        <v>46116</v>
      </c>
      <c r="X227">
        <f t="shared" ca="1" si="11"/>
        <v>70</v>
      </c>
    </row>
    <row r="228" spans="1:24" x14ac:dyDescent="0.25">
      <c r="A228">
        <v>239</v>
      </c>
      <c r="B228" t="s">
        <v>2491</v>
      </c>
      <c r="C228" t="s">
        <v>2009</v>
      </c>
      <c r="D228" t="s">
        <v>32</v>
      </c>
      <c r="E228" t="s">
        <v>61</v>
      </c>
      <c r="F228" t="s">
        <v>1864</v>
      </c>
      <c r="G228" t="s">
        <v>2491</v>
      </c>
      <c r="H228" t="b">
        <v>1</v>
      </c>
      <c r="I228" t="s">
        <v>1799</v>
      </c>
      <c r="J228" t="s">
        <v>2010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3">
        <v>21427700000000</v>
      </c>
      <c r="R228">
        <v>78.5</v>
      </c>
      <c r="S228">
        <v>9.6</v>
      </c>
      <c r="T228">
        <v>36.6</v>
      </c>
      <c r="U228">
        <v>328239523</v>
      </c>
      <c r="V228" s="5">
        <f t="shared" si="9"/>
        <v>27566</v>
      </c>
      <c r="W228" s="5">
        <f t="shared" ca="1" si="10"/>
        <v>46116</v>
      </c>
      <c r="X228">
        <f t="shared" ca="1" si="11"/>
        <v>50</v>
      </c>
    </row>
    <row r="229" spans="1:24" x14ac:dyDescent="0.25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1827</v>
      </c>
      <c r="G229" t="s">
        <v>21</v>
      </c>
      <c r="H229" t="b">
        <v>0</v>
      </c>
      <c r="I229" t="s">
        <v>2223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3">
        <v>21427700000000</v>
      </c>
      <c r="R229">
        <v>78.5</v>
      </c>
      <c r="S229">
        <v>9.6</v>
      </c>
      <c r="T229">
        <v>36.6</v>
      </c>
      <c r="U229">
        <v>328239523</v>
      </c>
      <c r="V229" s="5">
        <f t="shared" si="9"/>
        <v>17885</v>
      </c>
      <c r="W229" s="5">
        <f t="shared" ca="1" si="10"/>
        <v>46116</v>
      </c>
      <c r="X229">
        <f t="shared" ca="1" si="11"/>
        <v>77</v>
      </c>
    </row>
    <row r="230" spans="1:24" x14ac:dyDescent="0.25">
      <c r="A230">
        <v>239</v>
      </c>
      <c r="B230" t="s">
        <v>250</v>
      </c>
      <c r="C230" t="s">
        <v>2345</v>
      </c>
      <c r="D230" t="s">
        <v>105</v>
      </c>
      <c r="E230" t="s">
        <v>980</v>
      </c>
      <c r="F230" t="s">
        <v>2346</v>
      </c>
      <c r="G230" t="s">
        <v>250</v>
      </c>
      <c r="H230" t="b">
        <v>1</v>
      </c>
      <c r="I230" t="s">
        <v>1799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3">
        <v>19910000000000</v>
      </c>
      <c r="R230">
        <v>77</v>
      </c>
      <c r="S230">
        <v>9.4</v>
      </c>
      <c r="T230">
        <v>59.2</v>
      </c>
      <c r="U230">
        <v>1397715000</v>
      </c>
      <c r="V230" s="5">
        <f t="shared" si="9"/>
        <v>24838</v>
      </c>
      <c r="W230" s="5">
        <f t="shared" ca="1" si="10"/>
        <v>46116</v>
      </c>
      <c r="X230">
        <f t="shared" ca="1" si="11"/>
        <v>58</v>
      </c>
    </row>
    <row r="231" spans="1:24" x14ac:dyDescent="0.25">
      <c r="A231">
        <v>242</v>
      </c>
      <c r="B231" t="s">
        <v>1805</v>
      </c>
      <c r="C231" t="s">
        <v>2011</v>
      </c>
      <c r="D231" t="s">
        <v>32</v>
      </c>
      <c r="E231" t="s">
        <v>984</v>
      </c>
      <c r="F231" t="s">
        <v>2012</v>
      </c>
      <c r="G231" t="s">
        <v>1805</v>
      </c>
      <c r="H231" t="b">
        <v>0</v>
      </c>
      <c r="I231" t="s">
        <v>1799</v>
      </c>
      <c r="J231" t="s">
        <v>986</v>
      </c>
      <c r="K231" t="s">
        <v>1828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3">
        <v>21427700000000</v>
      </c>
      <c r="R231">
        <v>78.5</v>
      </c>
      <c r="S231">
        <v>9.6</v>
      </c>
      <c r="T231">
        <v>36.6</v>
      </c>
      <c r="U231">
        <v>328239523</v>
      </c>
      <c r="V231" s="5">
        <f t="shared" si="9"/>
        <v>17500</v>
      </c>
      <c r="W231" s="5">
        <f t="shared" ca="1" si="10"/>
        <v>46116</v>
      </c>
      <c r="X231">
        <f t="shared" ca="1" si="11"/>
        <v>78</v>
      </c>
    </row>
    <row r="232" spans="1:24" x14ac:dyDescent="0.25">
      <c r="A232">
        <v>242</v>
      </c>
      <c r="B232" t="s">
        <v>1868</v>
      </c>
      <c r="C232" t="s">
        <v>2347</v>
      </c>
      <c r="D232" t="s">
        <v>2304</v>
      </c>
      <c r="E232" t="s">
        <v>988</v>
      </c>
      <c r="F232" t="s">
        <v>2013</v>
      </c>
      <c r="G232" t="s">
        <v>1868</v>
      </c>
      <c r="H232" t="b">
        <v>0</v>
      </c>
      <c r="I232" t="s">
        <v>1799</v>
      </c>
      <c r="J232" t="s">
        <v>2014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3">
        <v>351431649241</v>
      </c>
      <c r="R232">
        <v>63.9</v>
      </c>
      <c r="S232">
        <v>27.5</v>
      </c>
      <c r="T232">
        <v>29.2</v>
      </c>
      <c r="U232">
        <v>58558270</v>
      </c>
      <c r="V232" s="5">
        <f t="shared" si="9"/>
        <v>16596</v>
      </c>
      <c r="W232" s="5">
        <f t="shared" ca="1" si="10"/>
        <v>46116</v>
      </c>
      <c r="X232">
        <f t="shared" ca="1" si="11"/>
        <v>80</v>
      </c>
    </row>
    <row r="233" spans="1:24" x14ac:dyDescent="0.25">
      <c r="A233">
        <v>242</v>
      </c>
      <c r="B233" t="s">
        <v>1805</v>
      </c>
      <c r="C233" t="s">
        <v>992</v>
      </c>
      <c r="D233" t="s">
        <v>274</v>
      </c>
      <c r="E233" t="s">
        <v>993</v>
      </c>
      <c r="F233" t="s">
        <v>2012</v>
      </c>
      <c r="G233" t="s">
        <v>1805</v>
      </c>
      <c r="H233" t="b">
        <v>0</v>
      </c>
      <c r="I233" t="s">
        <v>2223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3">
        <v>1392680589329</v>
      </c>
      <c r="R233">
        <v>82.7</v>
      </c>
      <c r="S233">
        <v>23</v>
      </c>
      <c r="T233">
        <v>47.4</v>
      </c>
      <c r="U233">
        <v>25766605</v>
      </c>
      <c r="V233" s="5">
        <f t="shared" si="9"/>
        <v>18404</v>
      </c>
      <c r="W233" s="5">
        <f t="shared" ca="1" si="10"/>
        <v>46116</v>
      </c>
      <c r="X233">
        <f t="shared" ca="1" si="11"/>
        <v>75</v>
      </c>
    </row>
    <row r="234" spans="1:24" x14ac:dyDescent="0.25">
      <c r="A234">
        <v>242</v>
      </c>
      <c r="B234" t="s">
        <v>1868</v>
      </c>
      <c r="C234" t="s">
        <v>2348</v>
      </c>
      <c r="D234" t="s">
        <v>105</v>
      </c>
      <c r="E234" t="s">
        <v>997</v>
      </c>
      <c r="F234" t="s">
        <v>2015</v>
      </c>
      <c r="G234" t="s">
        <v>1868</v>
      </c>
      <c r="H234" t="b">
        <v>0</v>
      </c>
      <c r="I234" t="s">
        <v>2223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3">
        <v>19910000000000</v>
      </c>
      <c r="R234">
        <v>77</v>
      </c>
      <c r="S234">
        <v>9.4</v>
      </c>
      <c r="T234">
        <v>59.2</v>
      </c>
      <c r="U234">
        <v>1397715000</v>
      </c>
      <c r="V234" s="5">
        <f t="shared" si="9"/>
        <v>16803</v>
      </c>
      <c r="W234" s="5">
        <f t="shared" ca="1" si="10"/>
        <v>46116</v>
      </c>
      <c r="X234">
        <f t="shared" ca="1" si="11"/>
        <v>80</v>
      </c>
    </row>
    <row r="235" spans="1:24" x14ac:dyDescent="0.25">
      <c r="A235">
        <v>246</v>
      </c>
      <c r="B235" t="s">
        <v>21</v>
      </c>
      <c r="C235" t="s">
        <v>2016</v>
      </c>
      <c r="D235" t="s">
        <v>32</v>
      </c>
      <c r="E235" t="s">
        <v>2349</v>
      </c>
      <c r="F235" t="s">
        <v>1003</v>
      </c>
      <c r="G235" t="s">
        <v>21</v>
      </c>
      <c r="H235" t="b">
        <v>1</v>
      </c>
      <c r="I235" t="s">
        <v>1799</v>
      </c>
      <c r="J235" t="s">
        <v>2017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3">
        <v>21427700000000</v>
      </c>
      <c r="R235">
        <v>78.5</v>
      </c>
      <c r="S235">
        <v>9.6</v>
      </c>
      <c r="T235">
        <v>36.6</v>
      </c>
      <c r="U235">
        <v>328239523</v>
      </c>
      <c r="V235" s="5">
        <f t="shared" si="9"/>
        <v>17611</v>
      </c>
      <c r="W235" s="5">
        <f t="shared" ca="1" si="10"/>
        <v>46116</v>
      </c>
      <c r="X235">
        <f t="shared" ca="1" si="11"/>
        <v>78</v>
      </c>
    </row>
    <row r="236" spans="1:24" x14ac:dyDescent="0.25">
      <c r="A236">
        <v>249</v>
      </c>
      <c r="B236" t="s">
        <v>292</v>
      </c>
      <c r="C236" t="s">
        <v>2018</v>
      </c>
      <c r="D236" t="s">
        <v>327</v>
      </c>
      <c r="E236" t="s">
        <v>1884</v>
      </c>
      <c r="F236" t="s">
        <v>1940</v>
      </c>
      <c r="G236" t="s">
        <v>292</v>
      </c>
      <c r="H236" t="b">
        <v>1</v>
      </c>
      <c r="I236" t="s">
        <v>1799</v>
      </c>
      <c r="J236" t="s">
        <v>636</v>
      </c>
      <c r="K236" t="s">
        <v>2019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3">
        <v>1699876578871</v>
      </c>
      <c r="R236">
        <v>72.7</v>
      </c>
      <c r="S236">
        <v>11.4</v>
      </c>
      <c r="T236">
        <v>46.2</v>
      </c>
      <c r="U236">
        <v>144373535</v>
      </c>
      <c r="V236" s="5">
        <f t="shared" si="9"/>
        <v>22578</v>
      </c>
      <c r="W236" s="5">
        <f t="shared" ca="1" si="10"/>
        <v>46116</v>
      </c>
      <c r="X236">
        <f t="shared" ca="1" si="11"/>
        <v>64</v>
      </c>
    </row>
    <row r="237" spans="1:24" x14ac:dyDescent="0.25">
      <c r="A237">
        <v>249</v>
      </c>
      <c r="B237" t="s">
        <v>72</v>
      </c>
      <c r="C237" t="s">
        <v>2020</v>
      </c>
      <c r="D237" t="s">
        <v>565</v>
      </c>
      <c r="E237" t="s">
        <v>566</v>
      </c>
      <c r="F237" t="s">
        <v>1936</v>
      </c>
      <c r="G237" t="s">
        <v>72</v>
      </c>
      <c r="H237" t="b">
        <v>0</v>
      </c>
      <c r="I237" t="s">
        <v>1799</v>
      </c>
      <c r="J237" t="s">
        <v>1008</v>
      </c>
      <c r="K237" t="s">
        <v>2021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3">
        <v>448120428859</v>
      </c>
      <c r="R237">
        <v>54.3</v>
      </c>
      <c r="S237">
        <v>1.5</v>
      </c>
      <c r="T237">
        <v>34.799999999999997</v>
      </c>
      <c r="U237">
        <v>200963599</v>
      </c>
      <c r="V237" s="5">
        <f t="shared" si="9"/>
        <v>22132</v>
      </c>
      <c r="W237" s="5">
        <f t="shared" ca="1" si="10"/>
        <v>46116</v>
      </c>
      <c r="X237">
        <f t="shared" ca="1" si="11"/>
        <v>65</v>
      </c>
    </row>
    <row r="238" spans="1:24" x14ac:dyDescent="0.25">
      <c r="A238">
        <v>249</v>
      </c>
      <c r="B238" t="s">
        <v>2491</v>
      </c>
      <c r="C238" t="s">
        <v>1010</v>
      </c>
      <c r="D238" t="s">
        <v>32</v>
      </c>
      <c r="E238" t="s">
        <v>503</v>
      </c>
      <c r="F238" t="s">
        <v>802</v>
      </c>
      <c r="G238" t="s">
        <v>2491</v>
      </c>
      <c r="H238" t="b">
        <v>1</v>
      </c>
      <c r="I238" t="s">
        <v>1799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3">
        <v>21427700000000</v>
      </c>
      <c r="R238">
        <v>78.5</v>
      </c>
      <c r="S238">
        <v>9.6</v>
      </c>
      <c r="T238">
        <v>36.6</v>
      </c>
      <c r="U238">
        <v>328239523</v>
      </c>
      <c r="V238" s="5">
        <f t="shared" si="9"/>
        <v>15963</v>
      </c>
      <c r="W238" s="5">
        <f t="shared" ca="1" si="10"/>
        <v>46116</v>
      </c>
      <c r="X238">
        <f t="shared" ca="1" si="11"/>
        <v>82</v>
      </c>
    </row>
    <row r="239" spans="1:24" x14ac:dyDescent="0.25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1799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3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 s="5">
        <f t="shared" si="9"/>
        <v>11550</v>
      </c>
      <c r="W239" s="5">
        <f t="shared" ca="1" si="10"/>
        <v>46116</v>
      </c>
      <c r="X239">
        <f t="shared" ca="1" si="11"/>
        <v>94</v>
      </c>
    </row>
    <row r="240" spans="1:24" x14ac:dyDescent="0.25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1799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3">
        <v>19910000000000</v>
      </c>
      <c r="R240">
        <v>77</v>
      </c>
      <c r="S240">
        <v>9.4</v>
      </c>
      <c r="T240">
        <v>59.2</v>
      </c>
      <c r="U240">
        <v>1397715000</v>
      </c>
      <c r="V240" s="5">
        <f t="shared" si="9"/>
        <v>19998</v>
      </c>
      <c r="W240" s="5">
        <f t="shared" ca="1" si="10"/>
        <v>46116</v>
      </c>
      <c r="X240">
        <f t="shared" ca="1" si="11"/>
        <v>71</v>
      </c>
    </row>
    <row r="241" spans="1:24" x14ac:dyDescent="0.25">
      <c r="A241">
        <v>249</v>
      </c>
      <c r="B241" t="s">
        <v>462</v>
      </c>
      <c r="C241" t="s">
        <v>2350</v>
      </c>
      <c r="D241" t="s">
        <v>105</v>
      </c>
      <c r="E241" t="s">
        <v>2261</v>
      </c>
      <c r="F241" t="s">
        <v>465</v>
      </c>
      <c r="G241" t="s">
        <v>462</v>
      </c>
      <c r="H241" t="b">
        <v>0</v>
      </c>
      <c r="I241" t="s">
        <v>2223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3">
        <v>19910000000000</v>
      </c>
      <c r="R241">
        <v>77</v>
      </c>
      <c r="S241">
        <v>9.4</v>
      </c>
      <c r="T241">
        <v>59.2</v>
      </c>
      <c r="U241">
        <v>1397715000</v>
      </c>
      <c r="V241" s="5">
        <f t="shared" si="9"/>
        <v>29856</v>
      </c>
      <c r="W241" s="5">
        <f t="shared" ca="1" si="10"/>
        <v>46116</v>
      </c>
      <c r="X241">
        <f t="shared" ca="1" si="11"/>
        <v>44</v>
      </c>
    </row>
    <row r="242" spans="1:24" x14ac:dyDescent="0.25">
      <c r="A242">
        <v>256</v>
      </c>
      <c r="B242" t="s">
        <v>72</v>
      </c>
      <c r="C242" t="s">
        <v>1020</v>
      </c>
      <c r="D242" t="s">
        <v>2214</v>
      </c>
      <c r="E242" t="s">
        <v>24</v>
      </c>
      <c r="F242" t="s">
        <v>72</v>
      </c>
      <c r="G242" t="s">
        <v>72</v>
      </c>
      <c r="H242" t="b">
        <v>0</v>
      </c>
      <c r="I242" t="s">
        <v>1799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3">
        <v>2715518274227</v>
      </c>
      <c r="R242">
        <v>82.5</v>
      </c>
      <c r="S242">
        <v>24.2</v>
      </c>
      <c r="T242">
        <v>60.7</v>
      </c>
      <c r="U242">
        <v>67059887</v>
      </c>
      <c r="V242" s="5">
        <f t="shared" si="9"/>
        <v>19547</v>
      </c>
      <c r="W242" s="5">
        <f t="shared" ca="1" si="10"/>
        <v>46116</v>
      </c>
      <c r="X242">
        <f t="shared" ca="1" si="11"/>
        <v>72</v>
      </c>
    </row>
    <row r="243" spans="1:24" x14ac:dyDescent="0.25">
      <c r="A243">
        <v>256</v>
      </c>
      <c r="B243" t="s">
        <v>72</v>
      </c>
      <c r="C243" t="s">
        <v>1023</v>
      </c>
      <c r="D243" t="s">
        <v>2214</v>
      </c>
      <c r="E243" t="s">
        <v>24</v>
      </c>
      <c r="F243" t="s">
        <v>72</v>
      </c>
      <c r="G243" t="s">
        <v>72</v>
      </c>
      <c r="H243" t="b">
        <v>0</v>
      </c>
      <c r="I243" t="s">
        <v>1799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3">
        <v>2715518274227</v>
      </c>
      <c r="R243">
        <v>82.5</v>
      </c>
      <c r="S243">
        <v>24.2</v>
      </c>
      <c r="T243">
        <v>60.7</v>
      </c>
      <c r="U243">
        <v>67059887</v>
      </c>
      <c r="V243" s="5">
        <f t="shared" si="9"/>
        <v>20905</v>
      </c>
      <c r="W243" s="5">
        <f t="shared" ca="1" si="10"/>
        <v>46116</v>
      </c>
      <c r="X243">
        <f t="shared" ca="1" si="11"/>
        <v>69</v>
      </c>
    </row>
    <row r="244" spans="1:24" x14ac:dyDescent="0.25">
      <c r="A244">
        <v>256</v>
      </c>
      <c r="B244" t="s">
        <v>103</v>
      </c>
      <c r="C244" t="s">
        <v>2351</v>
      </c>
      <c r="D244" t="s">
        <v>32</v>
      </c>
      <c r="E244" t="s">
        <v>742</v>
      </c>
      <c r="F244" t="s">
        <v>2022</v>
      </c>
      <c r="G244" t="s">
        <v>103</v>
      </c>
      <c r="H244" t="b">
        <v>1</v>
      </c>
      <c r="I244" t="s">
        <v>1799</v>
      </c>
      <c r="J244" t="s">
        <v>2352</v>
      </c>
      <c r="K244" t="s">
        <v>2023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3">
        <v>21427700000000</v>
      </c>
      <c r="R244">
        <v>78.5</v>
      </c>
      <c r="S244">
        <v>9.6</v>
      </c>
      <c r="T244">
        <v>36.6</v>
      </c>
      <c r="U244">
        <v>328239523</v>
      </c>
      <c r="V244" s="5">
        <f t="shared" si="9"/>
        <v>20996</v>
      </c>
      <c r="W244" s="5">
        <f t="shared" ca="1" si="10"/>
        <v>46116</v>
      </c>
      <c r="X244">
        <f t="shared" ca="1" si="11"/>
        <v>68</v>
      </c>
    </row>
    <row r="245" spans="1:24" x14ac:dyDescent="0.25">
      <c r="A245">
        <v>256</v>
      </c>
      <c r="B245" t="s">
        <v>72</v>
      </c>
      <c r="C245" t="s">
        <v>2024</v>
      </c>
      <c r="D245" t="s">
        <v>2214</v>
      </c>
      <c r="E245" t="s">
        <v>24</v>
      </c>
      <c r="F245" t="s">
        <v>72</v>
      </c>
      <c r="G245" t="s">
        <v>72</v>
      </c>
      <c r="H245" t="b">
        <v>0</v>
      </c>
      <c r="I245" t="s">
        <v>2223</v>
      </c>
      <c r="J245" t="s">
        <v>1030</v>
      </c>
      <c r="K245" t="s">
        <v>2025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3">
        <v>2715518274227</v>
      </c>
      <c r="R245">
        <v>82.5</v>
      </c>
      <c r="S245">
        <v>24.2</v>
      </c>
      <c r="T245">
        <v>60.7</v>
      </c>
      <c r="U245">
        <v>67059887</v>
      </c>
      <c r="V245" s="5">
        <f t="shared" si="9"/>
        <v>23836</v>
      </c>
      <c r="W245" s="5">
        <f t="shared" ca="1" si="10"/>
        <v>46116</v>
      </c>
      <c r="X245">
        <f t="shared" ca="1" si="11"/>
        <v>61</v>
      </c>
    </row>
    <row r="246" spans="1:24" x14ac:dyDescent="0.25">
      <c r="A246">
        <v>256</v>
      </c>
      <c r="B246" t="s">
        <v>1848</v>
      </c>
      <c r="C246" t="s">
        <v>2026</v>
      </c>
      <c r="D246" t="s">
        <v>170</v>
      </c>
      <c r="E246" t="s">
        <v>1033</v>
      </c>
      <c r="F246" t="s">
        <v>1034</v>
      </c>
      <c r="G246" t="s">
        <v>1848</v>
      </c>
      <c r="H246" t="b">
        <v>1</v>
      </c>
      <c r="I246" t="s">
        <v>1799</v>
      </c>
      <c r="J246" t="s">
        <v>2027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3">
        <v>703082435360</v>
      </c>
      <c r="R246">
        <v>83.6</v>
      </c>
      <c r="S246">
        <v>10.1</v>
      </c>
      <c r="T246">
        <v>28.8</v>
      </c>
      <c r="U246">
        <v>8574832</v>
      </c>
      <c r="V246" s="5">
        <f t="shared" si="9"/>
        <v>25277</v>
      </c>
      <c r="W246" s="5">
        <f t="shared" ca="1" si="10"/>
        <v>46116</v>
      </c>
      <c r="X246">
        <f t="shared" ca="1" si="11"/>
        <v>57</v>
      </c>
    </row>
    <row r="247" spans="1:24" x14ac:dyDescent="0.25">
      <c r="A247">
        <v>261</v>
      </c>
      <c r="B247" t="s">
        <v>38</v>
      </c>
      <c r="C247" t="s">
        <v>1037</v>
      </c>
      <c r="D247" t="s">
        <v>32</v>
      </c>
      <c r="E247" t="s">
        <v>2333</v>
      </c>
      <c r="F247" t="s">
        <v>857</v>
      </c>
      <c r="G247" t="s">
        <v>38</v>
      </c>
      <c r="H247" t="b">
        <v>1</v>
      </c>
      <c r="I247" t="s">
        <v>1799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3">
        <v>21427700000000</v>
      </c>
      <c r="R247">
        <v>78.5</v>
      </c>
      <c r="S247">
        <v>9.6</v>
      </c>
      <c r="T247">
        <v>36.6</v>
      </c>
      <c r="U247">
        <v>328239523</v>
      </c>
      <c r="V247" s="5">
        <f t="shared" si="9"/>
        <v>30478</v>
      </c>
      <c r="W247" s="5">
        <f t="shared" ca="1" si="10"/>
        <v>46116</v>
      </c>
      <c r="X247">
        <f t="shared" ca="1" si="11"/>
        <v>42</v>
      </c>
    </row>
    <row r="248" spans="1:24" x14ac:dyDescent="0.25">
      <c r="A248">
        <v>261</v>
      </c>
      <c r="B248" t="s">
        <v>292</v>
      </c>
      <c r="C248" t="s">
        <v>2353</v>
      </c>
      <c r="D248" t="s">
        <v>327</v>
      </c>
      <c r="E248" t="s">
        <v>1884</v>
      </c>
      <c r="F248" t="s">
        <v>403</v>
      </c>
      <c r="G248" t="s">
        <v>292</v>
      </c>
      <c r="H248" t="b">
        <v>1</v>
      </c>
      <c r="I248" t="s">
        <v>1799</v>
      </c>
      <c r="J248" t="s">
        <v>2354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3">
        <v>1699876578871</v>
      </c>
      <c r="R248">
        <v>72.7</v>
      </c>
      <c r="S248">
        <v>11.4</v>
      </c>
      <c r="T248">
        <v>46.2</v>
      </c>
      <c r="U248">
        <v>144373535</v>
      </c>
      <c r="V248" s="5">
        <f t="shared" si="9"/>
        <v>20550</v>
      </c>
      <c r="W248" s="5">
        <f t="shared" ca="1" si="10"/>
        <v>46116</v>
      </c>
      <c r="X248">
        <f t="shared" ca="1" si="11"/>
        <v>69</v>
      </c>
    </row>
    <row r="249" spans="1:24" x14ac:dyDescent="0.25">
      <c r="A249">
        <v>261</v>
      </c>
      <c r="B249" t="s">
        <v>21</v>
      </c>
      <c r="C249" t="s">
        <v>2028</v>
      </c>
      <c r="D249" t="s">
        <v>32</v>
      </c>
      <c r="E249" t="s">
        <v>984</v>
      </c>
      <c r="F249" t="s">
        <v>2029</v>
      </c>
      <c r="G249" t="s">
        <v>21</v>
      </c>
      <c r="H249" t="b">
        <v>1</v>
      </c>
      <c r="I249" t="s">
        <v>1799</v>
      </c>
      <c r="J249" t="s">
        <v>2030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3">
        <v>21427700000000</v>
      </c>
      <c r="R249">
        <v>78.5</v>
      </c>
      <c r="S249">
        <v>9.6</v>
      </c>
      <c r="T249">
        <v>36.6</v>
      </c>
      <c r="U249">
        <v>328239523</v>
      </c>
      <c r="V249" s="5">
        <f t="shared" si="9"/>
        <v>10725</v>
      </c>
      <c r="W249" s="5">
        <f t="shared" ca="1" si="10"/>
        <v>46116</v>
      </c>
      <c r="X249">
        <f t="shared" ca="1" si="11"/>
        <v>96</v>
      </c>
    </row>
    <row r="250" spans="1:24" x14ac:dyDescent="0.25">
      <c r="A250">
        <v>261</v>
      </c>
      <c r="B250" t="s">
        <v>2491</v>
      </c>
      <c r="C250" t="s">
        <v>1045</v>
      </c>
      <c r="D250" t="s">
        <v>32</v>
      </c>
      <c r="E250" t="s">
        <v>1046</v>
      </c>
      <c r="F250" t="s">
        <v>1047</v>
      </c>
      <c r="G250" t="s">
        <v>2491</v>
      </c>
      <c r="H250" t="b">
        <v>1</v>
      </c>
      <c r="I250" t="s">
        <v>1799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3">
        <v>21427700000000</v>
      </c>
      <c r="R250">
        <v>78.5</v>
      </c>
      <c r="S250">
        <v>9.6</v>
      </c>
      <c r="T250">
        <v>36.6</v>
      </c>
      <c r="U250">
        <v>328239523</v>
      </c>
      <c r="V250" s="5">
        <f t="shared" si="9"/>
        <v>13650</v>
      </c>
      <c r="W250" s="5">
        <f t="shared" ca="1" si="10"/>
        <v>46116</v>
      </c>
      <c r="X250">
        <f t="shared" ca="1" si="11"/>
        <v>88</v>
      </c>
    </row>
    <row r="251" spans="1:24" x14ac:dyDescent="0.25">
      <c r="A251">
        <v>261</v>
      </c>
      <c r="B251" t="s">
        <v>2491</v>
      </c>
      <c r="C251" t="s">
        <v>2355</v>
      </c>
      <c r="D251" t="s">
        <v>32</v>
      </c>
      <c r="E251" t="s">
        <v>33</v>
      </c>
      <c r="F251" t="s">
        <v>802</v>
      </c>
      <c r="G251" t="s">
        <v>2491</v>
      </c>
      <c r="H251" t="b">
        <v>1</v>
      </c>
      <c r="I251" t="s">
        <v>1799</v>
      </c>
      <c r="J251" t="s">
        <v>2031</v>
      </c>
      <c r="K251" t="s">
        <v>2356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3">
        <v>21427700000000</v>
      </c>
      <c r="R251">
        <v>78.5</v>
      </c>
      <c r="S251">
        <v>9.6</v>
      </c>
      <c r="T251">
        <v>36.6</v>
      </c>
      <c r="U251">
        <v>328239523</v>
      </c>
      <c r="V251" s="5">
        <f t="shared" si="9"/>
        <v>22981</v>
      </c>
      <c r="W251" s="5">
        <f t="shared" ca="1" si="10"/>
        <v>46116</v>
      </c>
      <c r="X251">
        <f t="shared" ca="1" si="11"/>
        <v>63</v>
      </c>
    </row>
    <row r="252" spans="1:24" x14ac:dyDescent="0.25">
      <c r="A252">
        <v>261</v>
      </c>
      <c r="B252" t="s">
        <v>1868</v>
      </c>
      <c r="C252" t="s">
        <v>1053</v>
      </c>
      <c r="D252" t="s">
        <v>487</v>
      </c>
      <c r="E252" t="s">
        <v>488</v>
      </c>
      <c r="F252" t="s">
        <v>2032</v>
      </c>
      <c r="G252" t="s">
        <v>1868</v>
      </c>
      <c r="H252" t="b">
        <v>1</v>
      </c>
      <c r="I252" t="s">
        <v>1799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3">
        <v>246489245495</v>
      </c>
      <c r="R252">
        <v>79</v>
      </c>
      <c r="S252">
        <v>14.9</v>
      </c>
      <c r="T252">
        <v>46.1</v>
      </c>
      <c r="U252">
        <v>10669709</v>
      </c>
      <c r="V252" s="5">
        <f t="shared" si="9"/>
        <v>23512</v>
      </c>
      <c r="W252" s="5">
        <f t="shared" ca="1" si="10"/>
        <v>46116</v>
      </c>
      <c r="X252">
        <f t="shared" ca="1" si="11"/>
        <v>61</v>
      </c>
    </row>
    <row r="253" spans="1:24" x14ac:dyDescent="0.25">
      <c r="A253">
        <v>268</v>
      </c>
      <c r="B253" t="s">
        <v>2491</v>
      </c>
      <c r="C253" t="s">
        <v>1056</v>
      </c>
      <c r="D253" t="s">
        <v>32</v>
      </c>
      <c r="E253" t="s">
        <v>2033</v>
      </c>
      <c r="F253" t="s">
        <v>802</v>
      </c>
      <c r="G253" t="s">
        <v>2491</v>
      </c>
      <c r="H253" t="b">
        <v>1</v>
      </c>
      <c r="I253" t="s">
        <v>1799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3">
        <v>21427700000000</v>
      </c>
      <c r="R253">
        <v>78.5</v>
      </c>
      <c r="S253">
        <v>9.6</v>
      </c>
      <c r="T253">
        <v>36.6</v>
      </c>
      <c r="U253">
        <v>328239523</v>
      </c>
      <c r="V253" s="5">
        <f t="shared" si="9"/>
        <v>25834</v>
      </c>
      <c r="W253" s="5">
        <f t="shared" ca="1" si="10"/>
        <v>46116</v>
      </c>
      <c r="X253">
        <f t="shared" ca="1" si="11"/>
        <v>55</v>
      </c>
    </row>
    <row r="254" spans="1:24" x14ac:dyDescent="0.25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1799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3">
        <v>19910000000000</v>
      </c>
      <c r="R254">
        <v>77</v>
      </c>
      <c r="S254">
        <v>9.4</v>
      </c>
      <c r="T254">
        <v>59.2</v>
      </c>
      <c r="U254">
        <v>1397715000</v>
      </c>
      <c r="V254" s="5">
        <f t="shared" si="9"/>
        <v>25903</v>
      </c>
      <c r="W254" s="5">
        <f t="shared" ca="1" si="10"/>
        <v>46116</v>
      </c>
      <c r="X254">
        <f t="shared" ca="1" si="11"/>
        <v>55</v>
      </c>
    </row>
    <row r="255" spans="1:24" x14ac:dyDescent="0.25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1827</v>
      </c>
      <c r="G255" t="s">
        <v>21</v>
      </c>
      <c r="H255" t="b">
        <v>0</v>
      </c>
      <c r="I255" t="s">
        <v>2223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3">
        <v>21427700000000</v>
      </c>
      <c r="R255">
        <v>78.5</v>
      </c>
      <c r="S255">
        <v>9.6</v>
      </c>
      <c r="T255">
        <v>36.6</v>
      </c>
      <c r="U255">
        <v>328239523</v>
      </c>
      <c r="V255" s="5">
        <f t="shared" si="9"/>
        <v>18763</v>
      </c>
      <c r="W255" s="5">
        <f t="shared" ca="1" si="10"/>
        <v>46116</v>
      </c>
      <c r="X255">
        <f t="shared" ca="1" si="11"/>
        <v>74</v>
      </c>
    </row>
    <row r="256" spans="1:24" x14ac:dyDescent="0.25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2034</v>
      </c>
      <c r="G256" t="s">
        <v>38</v>
      </c>
      <c r="H256" t="b">
        <v>0</v>
      </c>
      <c r="I256" t="s">
        <v>1799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3">
        <v>2029000000000</v>
      </c>
      <c r="R256">
        <v>82.6</v>
      </c>
      <c r="S256">
        <v>15.6</v>
      </c>
      <c r="T256">
        <v>33.200000000000003</v>
      </c>
      <c r="U256">
        <v>51709098</v>
      </c>
      <c r="V256" s="5">
        <f t="shared" si="9"/>
        <v>25012</v>
      </c>
      <c r="W256" s="5">
        <f t="shared" ca="1" si="10"/>
        <v>46116</v>
      </c>
      <c r="X256">
        <f t="shared" ca="1" si="11"/>
        <v>57</v>
      </c>
    </row>
    <row r="257" spans="1:24" x14ac:dyDescent="0.25">
      <c r="A257">
        <v>268</v>
      </c>
      <c r="B257" t="s">
        <v>2491</v>
      </c>
      <c r="C257" t="s">
        <v>2035</v>
      </c>
      <c r="D257" t="s">
        <v>32</v>
      </c>
      <c r="E257" t="s">
        <v>61</v>
      </c>
      <c r="F257" t="s">
        <v>802</v>
      </c>
      <c r="G257" t="s">
        <v>2491</v>
      </c>
      <c r="H257" t="b">
        <v>1</v>
      </c>
      <c r="I257" t="s">
        <v>1799</v>
      </c>
      <c r="J257" t="s">
        <v>2036</v>
      </c>
      <c r="K257" t="s">
        <v>2037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3">
        <v>21427700000000</v>
      </c>
      <c r="R257">
        <v>78.5</v>
      </c>
      <c r="S257">
        <v>9.6</v>
      </c>
      <c r="T257">
        <v>36.6</v>
      </c>
      <c r="U257">
        <v>328239523</v>
      </c>
      <c r="V257" s="5">
        <f t="shared" si="9"/>
        <v>25098</v>
      </c>
      <c r="W257" s="5">
        <f t="shared" ca="1" si="10"/>
        <v>46116</v>
      </c>
      <c r="X257">
        <f t="shared" ca="1" si="11"/>
        <v>57</v>
      </c>
    </row>
    <row r="258" spans="1:24" x14ac:dyDescent="0.25">
      <c r="A258">
        <v>268</v>
      </c>
      <c r="B258" t="s">
        <v>2491</v>
      </c>
      <c r="C258" t="s">
        <v>1075</v>
      </c>
      <c r="D258" t="s">
        <v>32</v>
      </c>
      <c r="E258" t="s">
        <v>61</v>
      </c>
      <c r="F258" t="s">
        <v>2240</v>
      </c>
      <c r="G258" t="s">
        <v>2491</v>
      </c>
      <c r="H258" t="b">
        <v>1</v>
      </c>
      <c r="I258" t="s">
        <v>1799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3">
        <v>21427700000000</v>
      </c>
      <c r="R258">
        <v>78.5</v>
      </c>
      <c r="S258">
        <v>9.6</v>
      </c>
      <c r="T258">
        <v>36.6</v>
      </c>
      <c r="U258">
        <v>328239523</v>
      </c>
      <c r="V258" s="5">
        <f t="shared" si="9"/>
        <v>18716</v>
      </c>
      <c r="W258" s="5">
        <f t="shared" ca="1" si="10"/>
        <v>46116</v>
      </c>
      <c r="X258">
        <f t="shared" ca="1" si="11"/>
        <v>75</v>
      </c>
    </row>
    <row r="259" spans="1:24" x14ac:dyDescent="0.25">
      <c r="A259">
        <v>268</v>
      </c>
      <c r="B259" t="s">
        <v>1868</v>
      </c>
      <c r="C259" t="s">
        <v>2357</v>
      </c>
      <c r="D259" t="s">
        <v>327</v>
      </c>
      <c r="E259" t="s">
        <v>1884</v>
      </c>
      <c r="F259" t="s">
        <v>2038</v>
      </c>
      <c r="G259" t="s">
        <v>1868</v>
      </c>
      <c r="H259" t="b">
        <v>1</v>
      </c>
      <c r="I259" t="s">
        <v>1799</v>
      </c>
      <c r="J259" t="s">
        <v>2358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3">
        <v>1699876578871</v>
      </c>
      <c r="R259">
        <v>72.7</v>
      </c>
      <c r="S259">
        <v>11.4</v>
      </c>
      <c r="T259">
        <v>46.2</v>
      </c>
      <c r="U259">
        <v>144373535</v>
      </c>
      <c r="V259" s="5">
        <f t="shared" ref="V259:V322" si="12">DATE(M259, N259, O259 )</f>
        <v>24137</v>
      </c>
      <c r="W259" s="5">
        <f t="shared" ref="W259:W322" ca="1" si="13">TODAY()</f>
        <v>46116</v>
      </c>
      <c r="X259">
        <f t="shared" ref="X259:X322" ca="1" si="14">INT(YEARFRAC(V259, W259))</f>
        <v>60</v>
      </c>
    </row>
    <row r="260" spans="1:24" x14ac:dyDescent="0.25">
      <c r="A260">
        <v>268</v>
      </c>
      <c r="B260" t="s">
        <v>72</v>
      </c>
      <c r="C260" t="s">
        <v>2359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1799</v>
      </c>
      <c r="J260" t="s">
        <v>2360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3">
        <v>446314739528</v>
      </c>
      <c r="R260">
        <v>81.599999999999994</v>
      </c>
      <c r="S260">
        <v>25.4</v>
      </c>
      <c r="T260">
        <v>51.4</v>
      </c>
      <c r="U260">
        <v>8877067</v>
      </c>
      <c r="V260" s="5">
        <f t="shared" si="12"/>
        <v>26556</v>
      </c>
      <c r="W260" s="5">
        <f t="shared" ca="1" si="13"/>
        <v>46116</v>
      </c>
      <c r="X260">
        <f t="shared" ca="1" si="14"/>
        <v>53</v>
      </c>
    </row>
    <row r="261" spans="1:24" x14ac:dyDescent="0.25">
      <c r="A261">
        <v>276</v>
      </c>
      <c r="B261" t="s">
        <v>1810</v>
      </c>
      <c r="C261" t="s">
        <v>2039</v>
      </c>
      <c r="D261" t="s">
        <v>32</v>
      </c>
      <c r="E261" t="s">
        <v>1085</v>
      </c>
      <c r="F261" t="s">
        <v>1810</v>
      </c>
      <c r="G261" t="s">
        <v>1810</v>
      </c>
      <c r="H261" t="b">
        <v>1</v>
      </c>
      <c r="I261" t="s">
        <v>1799</v>
      </c>
      <c r="J261" t="s">
        <v>2040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3">
        <v>21427700000000</v>
      </c>
      <c r="R261">
        <v>78.5</v>
      </c>
      <c r="S261">
        <v>9.6</v>
      </c>
      <c r="T261">
        <v>36.6</v>
      </c>
      <c r="U261">
        <v>328239523</v>
      </c>
      <c r="V261" s="5">
        <f t="shared" si="12"/>
        <v>18227</v>
      </c>
      <c r="W261" s="5">
        <f t="shared" ca="1" si="13"/>
        <v>46116</v>
      </c>
      <c r="X261">
        <f t="shared" ca="1" si="14"/>
        <v>76</v>
      </c>
    </row>
    <row r="262" spans="1:24" x14ac:dyDescent="0.25">
      <c r="A262">
        <v>276</v>
      </c>
      <c r="B262" t="s">
        <v>250</v>
      </c>
      <c r="C262" t="s">
        <v>2361</v>
      </c>
      <c r="D262" t="s">
        <v>105</v>
      </c>
      <c r="E262" t="s">
        <v>106</v>
      </c>
      <c r="F262" t="s">
        <v>2041</v>
      </c>
      <c r="G262" t="s">
        <v>250</v>
      </c>
      <c r="H262" t="b">
        <v>1</v>
      </c>
      <c r="I262" t="s">
        <v>1799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3">
        <v>19910000000000</v>
      </c>
      <c r="R262">
        <v>77</v>
      </c>
      <c r="S262">
        <v>9.4</v>
      </c>
      <c r="T262">
        <v>59.2</v>
      </c>
      <c r="U262">
        <v>1397715000</v>
      </c>
      <c r="V262" s="5">
        <f t="shared" si="12"/>
        <v>20637</v>
      </c>
      <c r="W262" s="5">
        <f t="shared" ca="1" si="13"/>
        <v>46116</v>
      </c>
      <c r="X262">
        <f t="shared" ca="1" si="14"/>
        <v>69</v>
      </c>
    </row>
    <row r="263" spans="1:24" x14ac:dyDescent="0.25">
      <c r="A263">
        <v>276</v>
      </c>
      <c r="B263" t="s">
        <v>38</v>
      </c>
      <c r="C263" t="s">
        <v>2362</v>
      </c>
      <c r="D263" t="s">
        <v>105</v>
      </c>
      <c r="E263" t="s">
        <v>246</v>
      </c>
      <c r="F263" t="s">
        <v>2363</v>
      </c>
      <c r="G263" t="s">
        <v>38</v>
      </c>
      <c r="H263" t="b">
        <v>1</v>
      </c>
      <c r="I263" t="s">
        <v>1799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3">
        <v>19910000000000</v>
      </c>
      <c r="R263">
        <v>77</v>
      </c>
      <c r="S263">
        <v>9.4</v>
      </c>
      <c r="T263">
        <v>59.2</v>
      </c>
      <c r="U263">
        <v>1397715000</v>
      </c>
      <c r="V263" s="5">
        <f t="shared" si="12"/>
        <v>25571</v>
      </c>
      <c r="W263" s="5">
        <f t="shared" ca="1" si="13"/>
        <v>46116</v>
      </c>
      <c r="X263">
        <f t="shared" ca="1" si="14"/>
        <v>56</v>
      </c>
    </row>
    <row r="264" spans="1:24" x14ac:dyDescent="0.25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2364</v>
      </c>
      <c r="G264" t="s">
        <v>250</v>
      </c>
      <c r="H264" t="b">
        <v>1</v>
      </c>
      <c r="I264" t="s">
        <v>1799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3">
        <v>19910000000000</v>
      </c>
      <c r="R264">
        <v>77</v>
      </c>
      <c r="S264">
        <v>9.4</v>
      </c>
      <c r="T264">
        <v>59.2</v>
      </c>
      <c r="U264">
        <v>1397715000</v>
      </c>
      <c r="V264" s="5">
        <f t="shared" si="12"/>
        <v>23590</v>
      </c>
      <c r="W264" s="5">
        <f t="shared" ca="1" si="13"/>
        <v>46116</v>
      </c>
      <c r="X264">
        <f t="shared" ca="1" si="14"/>
        <v>61</v>
      </c>
    </row>
    <row r="265" spans="1:24" x14ac:dyDescent="0.25">
      <c r="A265">
        <v>282</v>
      </c>
      <c r="B265" t="s">
        <v>103</v>
      </c>
      <c r="C265" t="s">
        <v>2042</v>
      </c>
      <c r="D265" t="s">
        <v>2214</v>
      </c>
      <c r="E265" t="s">
        <v>365</v>
      </c>
      <c r="F265" t="s">
        <v>366</v>
      </c>
      <c r="G265" t="s">
        <v>103</v>
      </c>
      <c r="H265" t="b">
        <v>0</v>
      </c>
      <c r="I265" t="s">
        <v>1799</v>
      </c>
      <c r="J265" t="s">
        <v>367</v>
      </c>
      <c r="K265" t="s">
        <v>2043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3">
        <v>2715518274227</v>
      </c>
      <c r="R265">
        <v>82.5</v>
      </c>
      <c r="S265">
        <v>24.2</v>
      </c>
      <c r="T265">
        <v>60.7</v>
      </c>
      <c r="U265">
        <v>67059887</v>
      </c>
      <c r="V265" s="5">
        <f t="shared" si="12"/>
        <v>24628</v>
      </c>
      <c r="W265" s="5">
        <f t="shared" ca="1" si="13"/>
        <v>46116</v>
      </c>
      <c r="X265">
        <f t="shared" ca="1" si="14"/>
        <v>58</v>
      </c>
    </row>
    <row r="266" spans="1:24" x14ac:dyDescent="0.25">
      <c r="A266">
        <v>282</v>
      </c>
      <c r="B266" t="s">
        <v>103</v>
      </c>
      <c r="C266" t="s">
        <v>2044</v>
      </c>
      <c r="D266" t="s">
        <v>2214</v>
      </c>
      <c r="E266" t="s">
        <v>365</v>
      </c>
      <c r="F266" t="s">
        <v>366</v>
      </c>
      <c r="G266" t="s">
        <v>103</v>
      </c>
      <c r="H266" t="b">
        <v>0</v>
      </c>
      <c r="I266" t="s">
        <v>2223</v>
      </c>
      <c r="J266" t="s">
        <v>1102</v>
      </c>
      <c r="K266" t="s">
        <v>2045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3">
        <v>2715518274227</v>
      </c>
      <c r="R266">
        <v>82.5</v>
      </c>
      <c r="S266">
        <v>24.2</v>
      </c>
      <c r="T266">
        <v>60.7</v>
      </c>
      <c r="U266">
        <v>67059887</v>
      </c>
      <c r="V266" s="5">
        <f t="shared" si="12"/>
        <v>29432</v>
      </c>
      <c r="W266" s="5">
        <f t="shared" ca="1" si="13"/>
        <v>46116</v>
      </c>
      <c r="X266">
        <f t="shared" ca="1" si="14"/>
        <v>45</v>
      </c>
    </row>
    <row r="267" spans="1:24" x14ac:dyDescent="0.25">
      <c r="A267">
        <v>282</v>
      </c>
      <c r="B267" t="s">
        <v>1805</v>
      </c>
      <c r="C267" t="s">
        <v>2365</v>
      </c>
      <c r="D267" t="s">
        <v>32</v>
      </c>
      <c r="E267" t="s">
        <v>886</v>
      </c>
      <c r="F267" t="s">
        <v>2046</v>
      </c>
      <c r="G267" t="s">
        <v>1805</v>
      </c>
      <c r="H267" t="b">
        <v>1</v>
      </c>
      <c r="I267" t="s">
        <v>1799</v>
      </c>
      <c r="J267" t="s">
        <v>2366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3">
        <v>21427700000000</v>
      </c>
      <c r="R267">
        <v>78.5</v>
      </c>
      <c r="S267">
        <v>9.6</v>
      </c>
      <c r="T267">
        <v>36.6</v>
      </c>
      <c r="U267">
        <v>328239523</v>
      </c>
      <c r="V267" s="5">
        <f t="shared" si="12"/>
        <v>15758</v>
      </c>
      <c r="W267" s="5">
        <f t="shared" ca="1" si="13"/>
        <v>46116</v>
      </c>
      <c r="X267">
        <f t="shared" ca="1" si="14"/>
        <v>83</v>
      </c>
    </row>
    <row r="268" spans="1:24" x14ac:dyDescent="0.25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1799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3">
        <v>19910000000000</v>
      </c>
      <c r="R268">
        <v>77</v>
      </c>
      <c r="S268">
        <v>9.4</v>
      </c>
      <c r="T268">
        <v>59.2</v>
      </c>
      <c r="U268">
        <v>1397715000</v>
      </c>
      <c r="V268" s="5">
        <f t="shared" si="12"/>
        <v>25159</v>
      </c>
      <c r="W268" s="5">
        <f t="shared" ca="1" si="13"/>
        <v>46116</v>
      </c>
      <c r="X268">
        <f t="shared" ca="1" si="14"/>
        <v>57</v>
      </c>
    </row>
    <row r="269" spans="1:24" x14ac:dyDescent="0.25">
      <c r="A269">
        <v>282</v>
      </c>
      <c r="B269" t="s">
        <v>381</v>
      </c>
      <c r="C269" t="s">
        <v>2367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1799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3">
        <v>19910000000000</v>
      </c>
      <c r="R269">
        <v>77</v>
      </c>
      <c r="S269">
        <v>9.4</v>
      </c>
      <c r="T269">
        <v>59.2</v>
      </c>
      <c r="U269">
        <v>1397715000</v>
      </c>
      <c r="V269" s="5">
        <f t="shared" si="12"/>
        <v>18872</v>
      </c>
      <c r="W269" s="5">
        <f t="shared" ca="1" si="13"/>
        <v>46116</v>
      </c>
      <c r="X269">
        <f t="shared" ca="1" si="14"/>
        <v>74</v>
      </c>
    </row>
    <row r="270" spans="1:24" x14ac:dyDescent="0.25">
      <c r="A270">
        <v>282</v>
      </c>
      <c r="B270" t="s">
        <v>38</v>
      </c>
      <c r="C270" t="s">
        <v>2047</v>
      </c>
      <c r="D270" t="s">
        <v>32</v>
      </c>
      <c r="E270" t="s">
        <v>464</v>
      </c>
      <c r="F270" t="s">
        <v>1901</v>
      </c>
      <c r="G270" t="s">
        <v>38</v>
      </c>
      <c r="H270" t="b">
        <v>1</v>
      </c>
      <c r="I270" t="s">
        <v>1799</v>
      </c>
      <c r="J270" t="s">
        <v>2048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3">
        <v>21427700000000</v>
      </c>
      <c r="R270">
        <v>78.5</v>
      </c>
      <c r="S270">
        <v>9.6</v>
      </c>
      <c r="T270">
        <v>36.6</v>
      </c>
      <c r="U270">
        <v>328239523</v>
      </c>
      <c r="V270" s="5">
        <f t="shared" si="12"/>
        <v>19987</v>
      </c>
      <c r="W270" s="5">
        <f t="shared" ca="1" si="13"/>
        <v>46116</v>
      </c>
      <c r="X270">
        <f t="shared" ca="1" si="14"/>
        <v>71</v>
      </c>
    </row>
    <row r="271" spans="1:24" x14ac:dyDescent="0.25">
      <c r="A271">
        <v>282</v>
      </c>
      <c r="B271" t="s">
        <v>351</v>
      </c>
      <c r="C271" t="s">
        <v>2049</v>
      </c>
      <c r="D271" t="s">
        <v>32</v>
      </c>
      <c r="E271" t="s">
        <v>634</v>
      </c>
      <c r="F271" t="s">
        <v>1922</v>
      </c>
      <c r="G271" t="s">
        <v>351</v>
      </c>
      <c r="H271" t="b">
        <v>1</v>
      </c>
      <c r="I271" t="s">
        <v>1799</v>
      </c>
      <c r="J271" t="s">
        <v>2050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3">
        <v>21427700000000</v>
      </c>
      <c r="R271">
        <v>78.5</v>
      </c>
      <c r="S271">
        <v>9.6</v>
      </c>
      <c r="T271">
        <v>36.6</v>
      </c>
      <c r="U271">
        <v>328239523</v>
      </c>
      <c r="V271" s="5">
        <f t="shared" si="12"/>
        <v>20092</v>
      </c>
      <c r="W271" s="5">
        <f t="shared" ca="1" si="13"/>
        <v>46116</v>
      </c>
      <c r="X271">
        <f t="shared" ca="1" si="14"/>
        <v>71</v>
      </c>
    </row>
    <row r="272" spans="1:24" x14ac:dyDescent="0.25">
      <c r="A272">
        <v>282</v>
      </c>
      <c r="B272" t="s">
        <v>462</v>
      </c>
      <c r="C272" t="s">
        <v>2368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1799</v>
      </c>
      <c r="J272" t="s">
        <v>2369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3">
        <v>403336363636</v>
      </c>
      <c r="R272">
        <v>82.8</v>
      </c>
      <c r="S272">
        <v>23.9</v>
      </c>
      <c r="T272">
        <v>36.200000000000003</v>
      </c>
      <c r="U272">
        <v>5347896</v>
      </c>
      <c r="V272" s="5">
        <f t="shared" si="12"/>
        <v>22455</v>
      </c>
      <c r="W272" s="5">
        <f t="shared" ca="1" si="13"/>
        <v>46116</v>
      </c>
      <c r="X272">
        <f t="shared" ca="1" si="14"/>
        <v>64</v>
      </c>
    </row>
    <row r="273" spans="1:24" x14ac:dyDescent="0.25">
      <c r="A273">
        <v>290</v>
      </c>
      <c r="B273" t="s">
        <v>292</v>
      </c>
      <c r="C273" t="s">
        <v>1122</v>
      </c>
      <c r="D273" t="s">
        <v>105</v>
      </c>
      <c r="E273" t="s">
        <v>2370</v>
      </c>
      <c r="F273" t="s">
        <v>2051</v>
      </c>
      <c r="G273" t="s">
        <v>292</v>
      </c>
      <c r="H273" t="b">
        <v>1</v>
      </c>
      <c r="I273" t="s">
        <v>1799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3">
        <v>19910000000000</v>
      </c>
      <c r="R273">
        <v>77</v>
      </c>
      <c r="S273">
        <v>9.4</v>
      </c>
      <c r="T273">
        <v>59.2</v>
      </c>
      <c r="U273">
        <v>1397715000</v>
      </c>
      <c r="V273" s="5">
        <f t="shared" si="12"/>
        <v>25043</v>
      </c>
      <c r="W273" s="5">
        <f t="shared" ca="1" si="13"/>
        <v>46116</v>
      </c>
      <c r="X273">
        <f t="shared" ca="1" si="14"/>
        <v>57</v>
      </c>
    </row>
    <row r="274" spans="1:24" x14ac:dyDescent="0.25">
      <c r="A274">
        <v>290</v>
      </c>
      <c r="B274" t="s">
        <v>351</v>
      </c>
      <c r="C274" t="s">
        <v>2371</v>
      </c>
      <c r="D274" t="s">
        <v>74</v>
      </c>
      <c r="E274" t="s">
        <v>1833</v>
      </c>
      <c r="F274" t="s">
        <v>1929</v>
      </c>
      <c r="G274" t="s">
        <v>351</v>
      </c>
      <c r="H274" t="b">
        <v>1</v>
      </c>
      <c r="I274" t="s">
        <v>1799</v>
      </c>
      <c r="J274" t="s">
        <v>1128</v>
      </c>
      <c r="K274" t="s">
        <v>2052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3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 s="5">
        <f t="shared" si="12"/>
        <v>12316</v>
      </c>
      <c r="W274" s="5">
        <f t="shared" ca="1" si="13"/>
        <v>46116</v>
      </c>
      <c r="X274">
        <f t="shared" ca="1" si="14"/>
        <v>92</v>
      </c>
    </row>
    <row r="275" spans="1:24" x14ac:dyDescent="0.25">
      <c r="A275">
        <v>290</v>
      </c>
      <c r="B275" t="s">
        <v>250</v>
      </c>
      <c r="C275" t="s">
        <v>1130</v>
      </c>
      <c r="D275" t="s">
        <v>1853</v>
      </c>
      <c r="E275" t="s">
        <v>227</v>
      </c>
      <c r="F275" t="s">
        <v>1890</v>
      </c>
      <c r="G275" t="s">
        <v>250</v>
      </c>
      <c r="H275" t="b">
        <v>1</v>
      </c>
      <c r="I275" t="s">
        <v>1799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3">
        <v>2827113184696</v>
      </c>
      <c r="R275">
        <v>81.3</v>
      </c>
      <c r="S275">
        <v>25.5</v>
      </c>
      <c r="T275">
        <v>30.6</v>
      </c>
      <c r="U275">
        <v>66834405</v>
      </c>
      <c r="V275" s="5">
        <f t="shared" si="12"/>
        <v>20427</v>
      </c>
      <c r="W275" s="5">
        <f t="shared" ca="1" si="13"/>
        <v>46116</v>
      </c>
      <c r="X275">
        <f t="shared" ca="1" si="14"/>
        <v>70</v>
      </c>
    </row>
    <row r="276" spans="1:24" x14ac:dyDescent="0.25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1799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3">
        <v>21427700000000</v>
      </c>
      <c r="R276">
        <v>78.5</v>
      </c>
      <c r="S276">
        <v>9.6</v>
      </c>
      <c r="T276">
        <v>36.6</v>
      </c>
      <c r="U276">
        <v>328239523</v>
      </c>
      <c r="V276" s="5">
        <f t="shared" si="12"/>
        <v>29819</v>
      </c>
      <c r="W276" s="5">
        <f t="shared" ca="1" si="13"/>
        <v>46116</v>
      </c>
      <c r="X276">
        <f t="shared" ca="1" si="14"/>
        <v>44</v>
      </c>
    </row>
    <row r="277" spans="1:24" x14ac:dyDescent="0.25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1799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3">
        <v>372062527489</v>
      </c>
      <c r="R277">
        <v>83.1</v>
      </c>
      <c r="S277">
        <v>13.1</v>
      </c>
      <c r="T277">
        <v>21</v>
      </c>
      <c r="U277">
        <v>5703569</v>
      </c>
      <c r="V277" s="5">
        <f t="shared" si="12"/>
        <v>21551</v>
      </c>
      <c r="W277" s="5">
        <f t="shared" ca="1" si="13"/>
        <v>46116</v>
      </c>
      <c r="X277">
        <f t="shared" ca="1" si="14"/>
        <v>67</v>
      </c>
    </row>
    <row r="278" spans="1:24" x14ac:dyDescent="0.25">
      <c r="A278">
        <v>290</v>
      </c>
      <c r="B278" t="s">
        <v>250</v>
      </c>
      <c r="C278" t="s">
        <v>1137</v>
      </c>
      <c r="D278" t="s">
        <v>1853</v>
      </c>
      <c r="E278" t="s">
        <v>227</v>
      </c>
      <c r="F278" t="s">
        <v>1890</v>
      </c>
      <c r="G278" t="s">
        <v>250</v>
      </c>
      <c r="H278" t="b">
        <v>1</v>
      </c>
      <c r="I278" t="s">
        <v>1799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3">
        <v>2827113184696</v>
      </c>
      <c r="R278">
        <v>81.3</v>
      </c>
      <c r="S278">
        <v>25.5</v>
      </c>
      <c r="T278">
        <v>30.6</v>
      </c>
      <c r="U278">
        <v>66834405</v>
      </c>
      <c r="V278" s="5">
        <f t="shared" si="12"/>
        <v>20886</v>
      </c>
      <c r="W278" s="5">
        <f t="shared" ca="1" si="13"/>
        <v>46116</v>
      </c>
      <c r="X278">
        <f t="shared" ca="1" si="14"/>
        <v>69</v>
      </c>
    </row>
    <row r="279" spans="1:24" x14ac:dyDescent="0.25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1799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3">
        <v>21427700000000</v>
      </c>
      <c r="R279">
        <v>78.5</v>
      </c>
      <c r="S279">
        <v>9.6</v>
      </c>
      <c r="T279">
        <v>36.6</v>
      </c>
      <c r="U279">
        <v>328239523</v>
      </c>
      <c r="V279" s="5">
        <f t="shared" si="12"/>
        <v>13967</v>
      </c>
      <c r="W279" s="5">
        <f t="shared" ca="1" si="13"/>
        <v>46116</v>
      </c>
      <c r="X279">
        <f t="shared" ca="1" si="14"/>
        <v>88</v>
      </c>
    </row>
    <row r="280" spans="1:24" x14ac:dyDescent="0.25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1929</v>
      </c>
      <c r="G280" t="s">
        <v>351</v>
      </c>
      <c r="H280" t="b">
        <v>1</v>
      </c>
      <c r="I280" t="s">
        <v>2223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3">
        <v>19910000000000</v>
      </c>
      <c r="R280">
        <v>77</v>
      </c>
      <c r="S280">
        <v>9.4</v>
      </c>
      <c r="T280">
        <v>59.2</v>
      </c>
      <c r="U280">
        <v>1397715000</v>
      </c>
      <c r="V280" s="5">
        <f t="shared" si="12"/>
        <v>22282</v>
      </c>
      <c r="W280" s="5">
        <f t="shared" ca="1" si="13"/>
        <v>46116</v>
      </c>
      <c r="X280">
        <f t="shared" ca="1" si="14"/>
        <v>65</v>
      </c>
    </row>
    <row r="281" spans="1:24" x14ac:dyDescent="0.25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2029</v>
      </c>
      <c r="G281" t="s">
        <v>590</v>
      </c>
      <c r="H281" t="b">
        <v>1</v>
      </c>
      <c r="I281" t="s">
        <v>1799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3">
        <v>21427700000000</v>
      </c>
      <c r="R281">
        <v>78.5</v>
      </c>
      <c r="S281">
        <v>9.6</v>
      </c>
      <c r="T281">
        <v>36.6</v>
      </c>
      <c r="U281">
        <v>328239523</v>
      </c>
      <c r="V281" s="5">
        <f t="shared" si="12"/>
        <v>15611</v>
      </c>
      <c r="W281" s="5">
        <f t="shared" ca="1" si="13"/>
        <v>46116</v>
      </c>
      <c r="X281">
        <f t="shared" ca="1" si="14"/>
        <v>83</v>
      </c>
    </row>
    <row r="282" spans="1:24" x14ac:dyDescent="0.25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2053</v>
      </c>
      <c r="G282" t="s">
        <v>21</v>
      </c>
      <c r="H282" t="b">
        <v>0</v>
      </c>
      <c r="I282" t="s">
        <v>1799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3">
        <v>21427700000000</v>
      </c>
      <c r="R282">
        <v>78.5</v>
      </c>
      <c r="S282">
        <v>9.6</v>
      </c>
      <c r="T282">
        <v>36.6</v>
      </c>
      <c r="U282">
        <v>328239523</v>
      </c>
      <c r="V282" s="5">
        <f t="shared" si="12"/>
        <v>13914</v>
      </c>
      <c r="W282" s="5">
        <f t="shared" ca="1" si="13"/>
        <v>46116</v>
      </c>
      <c r="X282">
        <f t="shared" ca="1" si="14"/>
        <v>88</v>
      </c>
    </row>
    <row r="283" spans="1:24" x14ac:dyDescent="0.25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1799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3">
        <v>19910000000000</v>
      </c>
      <c r="R283">
        <v>77</v>
      </c>
      <c r="S283">
        <v>9.4</v>
      </c>
      <c r="T283">
        <v>59.2</v>
      </c>
      <c r="U283">
        <v>1397715000</v>
      </c>
      <c r="V283" s="5">
        <f t="shared" si="12"/>
        <v>23377</v>
      </c>
      <c r="W283" s="5">
        <f t="shared" ca="1" si="13"/>
        <v>46116</v>
      </c>
      <c r="X283">
        <f t="shared" ca="1" si="14"/>
        <v>62</v>
      </c>
    </row>
    <row r="284" spans="1:24" x14ac:dyDescent="0.25">
      <c r="A284">
        <v>299</v>
      </c>
      <c r="B284" t="s">
        <v>2491</v>
      </c>
      <c r="C284" t="s">
        <v>1152</v>
      </c>
      <c r="D284" t="s">
        <v>32</v>
      </c>
      <c r="E284" t="s">
        <v>1875</v>
      </c>
      <c r="F284" t="s">
        <v>2240</v>
      </c>
      <c r="G284" t="s">
        <v>2491</v>
      </c>
      <c r="H284" t="b">
        <v>1</v>
      </c>
      <c r="I284" t="s">
        <v>1799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3">
        <v>21427700000000</v>
      </c>
      <c r="R284">
        <v>78.5</v>
      </c>
      <c r="S284">
        <v>9.6</v>
      </c>
      <c r="T284">
        <v>36.6</v>
      </c>
      <c r="U284">
        <v>328239523</v>
      </c>
      <c r="V284" s="5">
        <f t="shared" si="12"/>
        <v>19995</v>
      </c>
      <c r="W284" s="5">
        <f t="shared" ca="1" si="13"/>
        <v>46116</v>
      </c>
      <c r="X284">
        <f t="shared" ca="1" si="14"/>
        <v>71</v>
      </c>
    </row>
    <row r="285" spans="1:24" x14ac:dyDescent="0.25">
      <c r="A285">
        <v>299</v>
      </c>
      <c r="B285" t="s">
        <v>2491</v>
      </c>
      <c r="C285" t="s">
        <v>1154</v>
      </c>
      <c r="D285" t="s">
        <v>32</v>
      </c>
      <c r="E285" t="s">
        <v>61</v>
      </c>
      <c r="F285" t="s">
        <v>802</v>
      </c>
      <c r="G285" t="s">
        <v>2491</v>
      </c>
      <c r="H285" t="b">
        <v>1</v>
      </c>
      <c r="I285" t="s">
        <v>1799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3">
        <v>21427700000000</v>
      </c>
      <c r="R285">
        <v>78.5</v>
      </c>
      <c r="S285">
        <v>9.6</v>
      </c>
      <c r="T285">
        <v>36.6</v>
      </c>
      <c r="U285">
        <v>328239523</v>
      </c>
      <c r="V285" s="5">
        <f t="shared" si="12"/>
        <v>16077</v>
      </c>
      <c r="W285" s="5">
        <f t="shared" ca="1" si="13"/>
        <v>46116</v>
      </c>
      <c r="X285">
        <f t="shared" ca="1" si="14"/>
        <v>82</v>
      </c>
    </row>
    <row r="286" spans="1:24" x14ac:dyDescent="0.25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1799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3">
        <v>372062527489</v>
      </c>
      <c r="R286">
        <v>83.1</v>
      </c>
      <c r="S286">
        <v>13.1</v>
      </c>
      <c r="T286">
        <v>21</v>
      </c>
      <c r="U286">
        <v>5703569</v>
      </c>
      <c r="V286" s="5">
        <f t="shared" si="12"/>
        <v>25750</v>
      </c>
      <c r="W286" s="5">
        <f t="shared" ca="1" si="13"/>
        <v>46116</v>
      </c>
      <c r="X286">
        <f t="shared" ca="1" si="14"/>
        <v>55</v>
      </c>
    </row>
    <row r="287" spans="1:24" x14ac:dyDescent="0.25">
      <c r="A287">
        <v>305</v>
      </c>
      <c r="B287" t="s">
        <v>38</v>
      </c>
      <c r="C287" t="s">
        <v>2054</v>
      </c>
      <c r="D287" t="s">
        <v>32</v>
      </c>
      <c r="E287" t="s">
        <v>1160</v>
      </c>
      <c r="F287" t="s">
        <v>2311</v>
      </c>
      <c r="G287" t="s">
        <v>38</v>
      </c>
      <c r="H287" t="b">
        <v>1</v>
      </c>
      <c r="I287" t="s">
        <v>1799</v>
      </c>
      <c r="J287" t="s">
        <v>1161</v>
      </c>
      <c r="K287" t="s">
        <v>1891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3">
        <v>21427700000000</v>
      </c>
      <c r="R287">
        <v>78.5</v>
      </c>
      <c r="S287">
        <v>9.6</v>
      </c>
      <c r="T287">
        <v>36.6</v>
      </c>
      <c r="U287">
        <v>328239523</v>
      </c>
      <c r="V287" s="5">
        <f t="shared" si="12"/>
        <v>15712</v>
      </c>
      <c r="W287" s="5">
        <f t="shared" ca="1" si="13"/>
        <v>46116</v>
      </c>
      <c r="X287">
        <f t="shared" ca="1" si="14"/>
        <v>83</v>
      </c>
    </row>
    <row r="288" spans="1:24" x14ac:dyDescent="0.25">
      <c r="A288">
        <v>305</v>
      </c>
      <c r="B288" t="s">
        <v>250</v>
      </c>
      <c r="C288" t="s">
        <v>1162</v>
      </c>
      <c r="D288" t="s">
        <v>1853</v>
      </c>
      <c r="E288" t="s">
        <v>227</v>
      </c>
      <c r="F288" t="s">
        <v>2041</v>
      </c>
      <c r="G288" t="s">
        <v>250</v>
      </c>
      <c r="H288" t="b">
        <v>0</v>
      </c>
      <c r="I288" t="s">
        <v>1799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3">
        <v>2827113184696</v>
      </c>
      <c r="R288">
        <v>81.3</v>
      </c>
      <c r="S288">
        <v>25.5</v>
      </c>
      <c r="T288">
        <v>30.6</v>
      </c>
      <c r="U288">
        <v>66834405</v>
      </c>
      <c r="V288" s="5">
        <f t="shared" si="12"/>
        <v>19217</v>
      </c>
      <c r="W288" s="5">
        <f t="shared" ca="1" si="13"/>
        <v>46116</v>
      </c>
      <c r="X288">
        <f t="shared" ca="1" si="14"/>
        <v>73</v>
      </c>
    </row>
    <row r="289" spans="1:24" x14ac:dyDescent="0.25">
      <c r="A289">
        <v>305</v>
      </c>
      <c r="B289" t="s">
        <v>21</v>
      </c>
      <c r="C289" t="s">
        <v>2055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1799</v>
      </c>
      <c r="J289" t="s">
        <v>1847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3">
        <v>19910000000000</v>
      </c>
      <c r="R289">
        <v>77</v>
      </c>
      <c r="S289">
        <v>9.4</v>
      </c>
      <c r="T289">
        <v>59.2</v>
      </c>
      <c r="U289">
        <v>1397715000</v>
      </c>
      <c r="V289" s="5">
        <f t="shared" si="12"/>
        <v>23377</v>
      </c>
      <c r="W289" s="5">
        <f t="shared" ca="1" si="13"/>
        <v>46116</v>
      </c>
      <c r="X289">
        <f t="shared" ca="1" si="14"/>
        <v>62</v>
      </c>
    </row>
    <row r="290" spans="1:24" x14ac:dyDescent="0.25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1799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3">
        <v>372062527489</v>
      </c>
      <c r="R290">
        <v>83.1</v>
      </c>
      <c r="S290">
        <v>13.1</v>
      </c>
      <c r="T290">
        <v>21</v>
      </c>
      <c r="U290">
        <v>5703569</v>
      </c>
      <c r="V290" s="5">
        <f t="shared" si="12"/>
        <v>18994</v>
      </c>
      <c r="W290" s="5">
        <f t="shared" ca="1" si="13"/>
        <v>46116</v>
      </c>
      <c r="X290">
        <f t="shared" ca="1" si="14"/>
        <v>74</v>
      </c>
    </row>
    <row r="291" spans="1:24" x14ac:dyDescent="0.25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2490</v>
      </c>
      <c r="G291" t="s">
        <v>250</v>
      </c>
      <c r="H291" t="b">
        <v>1</v>
      </c>
      <c r="I291" t="s">
        <v>1799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3">
        <v>21427700000000</v>
      </c>
      <c r="R291">
        <v>78.5</v>
      </c>
      <c r="S291">
        <v>9.6</v>
      </c>
      <c r="T291">
        <v>36.6</v>
      </c>
      <c r="U291">
        <v>328239523</v>
      </c>
      <c r="V291" s="5">
        <f t="shared" si="12"/>
        <v>18718</v>
      </c>
      <c r="W291" s="5">
        <f t="shared" ca="1" si="13"/>
        <v>46116</v>
      </c>
      <c r="X291">
        <f t="shared" ca="1" si="14"/>
        <v>75</v>
      </c>
    </row>
    <row r="292" spans="1:24" x14ac:dyDescent="0.25">
      <c r="A292">
        <v>305</v>
      </c>
      <c r="B292" t="s">
        <v>580</v>
      </c>
      <c r="C292" t="s">
        <v>2372</v>
      </c>
      <c r="D292" t="s">
        <v>1175</v>
      </c>
      <c r="E292" t="s">
        <v>1176</v>
      </c>
      <c r="F292" t="s">
        <v>2056</v>
      </c>
      <c r="G292" t="s">
        <v>580</v>
      </c>
      <c r="H292" t="b">
        <v>0</v>
      </c>
      <c r="I292" t="s">
        <v>1799</v>
      </c>
      <c r="J292" t="s">
        <v>1178</v>
      </c>
      <c r="K292" t="s">
        <v>2373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3">
        <v>303175127598</v>
      </c>
      <c r="R292">
        <v>71.8</v>
      </c>
      <c r="S292">
        <v>12.5</v>
      </c>
      <c r="T292">
        <v>44.4</v>
      </c>
      <c r="U292">
        <v>100388073</v>
      </c>
      <c r="V292" s="5">
        <f t="shared" si="12"/>
        <v>22300</v>
      </c>
      <c r="W292" s="5">
        <f t="shared" ca="1" si="13"/>
        <v>46116</v>
      </c>
      <c r="X292">
        <f t="shared" ca="1" si="14"/>
        <v>65</v>
      </c>
    </row>
    <row r="293" spans="1:24" x14ac:dyDescent="0.25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1799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3">
        <v>21427700000000</v>
      </c>
      <c r="R293">
        <v>78.5</v>
      </c>
      <c r="S293">
        <v>9.6</v>
      </c>
      <c r="T293">
        <v>36.6</v>
      </c>
      <c r="U293">
        <v>328239523</v>
      </c>
      <c r="V293" s="5">
        <f t="shared" si="12"/>
        <v>15310</v>
      </c>
      <c r="W293" s="5">
        <f t="shared" ca="1" si="13"/>
        <v>46116</v>
      </c>
      <c r="X293">
        <f t="shared" ca="1" si="14"/>
        <v>84</v>
      </c>
    </row>
    <row r="294" spans="1:24" x14ac:dyDescent="0.25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2057</v>
      </c>
      <c r="G294" t="s">
        <v>250</v>
      </c>
      <c r="H294" t="b">
        <v>0</v>
      </c>
      <c r="I294" t="s">
        <v>1799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3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 s="5">
        <f t="shared" si="12"/>
        <v>11475</v>
      </c>
      <c r="W294" s="5">
        <f t="shared" ca="1" si="13"/>
        <v>46116</v>
      </c>
      <c r="X294">
        <f t="shared" ca="1" si="14"/>
        <v>94</v>
      </c>
    </row>
    <row r="295" spans="1:24" x14ac:dyDescent="0.25">
      <c r="A295">
        <v>312</v>
      </c>
      <c r="B295" t="s">
        <v>1868</v>
      </c>
      <c r="C295" t="s">
        <v>2058</v>
      </c>
      <c r="D295" t="s">
        <v>327</v>
      </c>
      <c r="E295" t="s">
        <v>1884</v>
      </c>
      <c r="F295" t="s">
        <v>2059</v>
      </c>
      <c r="G295" t="s">
        <v>1868</v>
      </c>
      <c r="H295" t="b">
        <v>1</v>
      </c>
      <c r="I295" t="s">
        <v>1799</v>
      </c>
      <c r="J295" t="s">
        <v>2060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3">
        <v>1699876578871</v>
      </c>
      <c r="R295">
        <v>72.7</v>
      </c>
      <c r="S295">
        <v>11.4</v>
      </c>
      <c r="T295">
        <v>46.2</v>
      </c>
      <c r="U295">
        <v>144373535</v>
      </c>
      <c r="V295" s="5">
        <f t="shared" si="12"/>
        <v>23350</v>
      </c>
      <c r="W295" s="5">
        <f t="shared" ca="1" si="13"/>
        <v>46116</v>
      </c>
      <c r="X295">
        <f t="shared" ca="1" si="14"/>
        <v>62</v>
      </c>
    </row>
    <row r="296" spans="1:24" x14ac:dyDescent="0.25">
      <c r="A296">
        <v>312</v>
      </c>
      <c r="B296" t="s">
        <v>21</v>
      </c>
      <c r="C296" t="s">
        <v>1194</v>
      </c>
      <c r="D296" t="s">
        <v>2061</v>
      </c>
      <c r="E296" t="s">
        <v>1196</v>
      </c>
      <c r="F296" t="s">
        <v>2243</v>
      </c>
      <c r="G296" t="s">
        <v>21</v>
      </c>
      <c r="H296" t="b">
        <v>0</v>
      </c>
      <c r="I296" t="s">
        <v>1799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3">
        <v>348078018464</v>
      </c>
      <c r="R296">
        <v>81</v>
      </c>
      <c r="S296">
        <v>32.4</v>
      </c>
      <c r="T296">
        <v>23.8</v>
      </c>
      <c r="U296">
        <v>5818553</v>
      </c>
      <c r="V296" s="5">
        <f t="shared" si="12"/>
        <v>26607</v>
      </c>
      <c r="W296" s="5">
        <f t="shared" ca="1" si="13"/>
        <v>46116</v>
      </c>
      <c r="X296">
        <f t="shared" ca="1" si="14"/>
        <v>53</v>
      </c>
    </row>
    <row r="297" spans="1:24" x14ac:dyDescent="0.25">
      <c r="A297">
        <v>312</v>
      </c>
      <c r="B297" t="s">
        <v>168</v>
      </c>
      <c r="C297" t="s">
        <v>1200</v>
      </c>
      <c r="D297" t="s">
        <v>967</v>
      </c>
      <c r="E297" t="s">
        <v>2006</v>
      </c>
      <c r="F297" t="s">
        <v>1201</v>
      </c>
      <c r="G297" t="s">
        <v>168</v>
      </c>
      <c r="H297" t="b">
        <v>0</v>
      </c>
      <c r="I297" t="s">
        <v>1799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3">
        <v>376795508680</v>
      </c>
      <c r="R297">
        <v>71.099999999999994</v>
      </c>
      <c r="S297">
        <v>14</v>
      </c>
      <c r="T297">
        <v>43.1</v>
      </c>
      <c r="U297">
        <v>108116615</v>
      </c>
      <c r="V297" s="5">
        <f t="shared" si="12"/>
        <v>21978</v>
      </c>
      <c r="W297" s="5">
        <f t="shared" ca="1" si="13"/>
        <v>46116</v>
      </c>
      <c r="X297">
        <f t="shared" ca="1" si="14"/>
        <v>66</v>
      </c>
    </row>
    <row r="298" spans="1:24" x14ac:dyDescent="0.25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2062</v>
      </c>
      <c r="G298" t="s">
        <v>38</v>
      </c>
      <c r="H298" t="b">
        <v>1</v>
      </c>
      <c r="I298" t="s">
        <v>2223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3">
        <v>19910000000000</v>
      </c>
      <c r="R298">
        <v>77</v>
      </c>
      <c r="S298">
        <v>9.4</v>
      </c>
      <c r="T298">
        <v>59.2</v>
      </c>
      <c r="U298">
        <v>1397715000</v>
      </c>
      <c r="V298" s="5">
        <f t="shared" si="12"/>
        <v>24626</v>
      </c>
      <c r="W298" s="5">
        <f t="shared" ca="1" si="13"/>
        <v>46116</v>
      </c>
      <c r="X298">
        <f t="shared" ca="1" si="14"/>
        <v>58</v>
      </c>
    </row>
    <row r="299" spans="1:24" x14ac:dyDescent="0.25">
      <c r="A299">
        <v>317</v>
      </c>
      <c r="B299" t="s">
        <v>2491</v>
      </c>
      <c r="C299" t="s">
        <v>1207</v>
      </c>
      <c r="D299" t="s">
        <v>32</v>
      </c>
      <c r="E299" t="s">
        <v>1208</v>
      </c>
      <c r="F299" t="s">
        <v>1860</v>
      </c>
      <c r="G299" t="s">
        <v>2491</v>
      </c>
      <c r="H299" t="b">
        <v>1</v>
      </c>
      <c r="I299" t="s">
        <v>1799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3">
        <v>21427700000000</v>
      </c>
      <c r="R299">
        <v>78.5</v>
      </c>
      <c r="S299">
        <v>9.6</v>
      </c>
      <c r="T299">
        <v>36.6</v>
      </c>
      <c r="U299">
        <v>328239523</v>
      </c>
      <c r="V299" s="5">
        <f t="shared" si="12"/>
        <v>21149</v>
      </c>
      <c r="W299" s="5">
        <f t="shared" ca="1" si="13"/>
        <v>46116</v>
      </c>
      <c r="X299">
        <f t="shared" ca="1" si="14"/>
        <v>68</v>
      </c>
    </row>
    <row r="300" spans="1:24" x14ac:dyDescent="0.25">
      <c r="A300">
        <v>317</v>
      </c>
      <c r="B300" t="s">
        <v>462</v>
      </c>
      <c r="C300" t="s">
        <v>2374</v>
      </c>
      <c r="D300" t="s">
        <v>32</v>
      </c>
      <c r="E300" t="s">
        <v>1875</v>
      </c>
      <c r="F300" t="s">
        <v>2063</v>
      </c>
      <c r="G300" t="s">
        <v>462</v>
      </c>
      <c r="H300" t="b">
        <v>1</v>
      </c>
      <c r="I300" t="s">
        <v>1799</v>
      </c>
      <c r="J300" t="s">
        <v>1212</v>
      </c>
      <c r="K300" t="s">
        <v>2216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3">
        <v>21427700000000</v>
      </c>
      <c r="R300">
        <v>78.5</v>
      </c>
      <c r="S300">
        <v>9.6</v>
      </c>
      <c r="T300">
        <v>36.6</v>
      </c>
      <c r="U300">
        <v>328239523</v>
      </c>
      <c r="V300" s="5">
        <f t="shared" si="12"/>
        <v>20068</v>
      </c>
      <c r="W300" s="5">
        <f t="shared" ca="1" si="13"/>
        <v>46116</v>
      </c>
      <c r="X300">
        <f t="shared" ca="1" si="14"/>
        <v>71</v>
      </c>
    </row>
    <row r="301" spans="1:24" x14ac:dyDescent="0.25">
      <c r="A301">
        <v>317</v>
      </c>
      <c r="B301" t="s">
        <v>2491</v>
      </c>
      <c r="C301" t="s">
        <v>1213</v>
      </c>
      <c r="D301" t="s">
        <v>32</v>
      </c>
      <c r="E301" t="s">
        <v>2064</v>
      </c>
      <c r="F301" t="s">
        <v>1215</v>
      </c>
      <c r="G301" t="s">
        <v>2491</v>
      </c>
      <c r="H301" t="b">
        <v>1</v>
      </c>
      <c r="I301" t="s">
        <v>1799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3">
        <v>21427700000000</v>
      </c>
      <c r="R301">
        <v>78.5</v>
      </c>
      <c r="S301">
        <v>9.6</v>
      </c>
      <c r="T301">
        <v>36.6</v>
      </c>
      <c r="U301">
        <v>328239523</v>
      </c>
      <c r="V301" s="5">
        <f t="shared" si="12"/>
        <v>15870</v>
      </c>
      <c r="W301" s="5">
        <f t="shared" ca="1" si="13"/>
        <v>46116</v>
      </c>
      <c r="X301">
        <f t="shared" ca="1" si="14"/>
        <v>82</v>
      </c>
    </row>
    <row r="302" spans="1:24" x14ac:dyDescent="0.25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1799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3">
        <v>21427700000000</v>
      </c>
      <c r="R302">
        <v>78.5</v>
      </c>
      <c r="S302">
        <v>9.6</v>
      </c>
      <c r="T302">
        <v>36.6</v>
      </c>
      <c r="U302">
        <v>328239523</v>
      </c>
      <c r="V302" s="5">
        <f t="shared" si="12"/>
        <v>16364</v>
      </c>
      <c r="W302" s="5">
        <f t="shared" ca="1" si="13"/>
        <v>46116</v>
      </c>
      <c r="X302">
        <f t="shared" ca="1" si="14"/>
        <v>81</v>
      </c>
    </row>
    <row r="303" spans="1:24" x14ac:dyDescent="0.25">
      <c r="A303">
        <v>317</v>
      </c>
      <c r="B303" t="s">
        <v>2491</v>
      </c>
      <c r="C303" t="s">
        <v>2065</v>
      </c>
      <c r="D303" t="s">
        <v>1877</v>
      </c>
      <c r="E303" t="s">
        <v>645</v>
      </c>
      <c r="F303" t="s">
        <v>2375</v>
      </c>
      <c r="G303" t="s">
        <v>2491</v>
      </c>
      <c r="H303" t="b">
        <v>1</v>
      </c>
      <c r="I303" t="s">
        <v>1799</v>
      </c>
      <c r="J303" t="s">
        <v>1223</v>
      </c>
      <c r="K303" t="s">
        <v>2066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3">
        <v>421142267938</v>
      </c>
      <c r="R303">
        <v>77.8</v>
      </c>
      <c r="S303">
        <v>0.1</v>
      </c>
      <c r="T303">
        <v>15.9</v>
      </c>
      <c r="U303">
        <v>9770529</v>
      </c>
      <c r="V303" s="5">
        <f t="shared" si="12"/>
        <v>29813</v>
      </c>
      <c r="W303" s="5">
        <f t="shared" ca="1" si="13"/>
        <v>46116</v>
      </c>
      <c r="X303">
        <f t="shared" ca="1" si="14"/>
        <v>44</v>
      </c>
    </row>
    <row r="304" spans="1:24" x14ac:dyDescent="0.25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1799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3">
        <v>5081769542380</v>
      </c>
      <c r="R304">
        <v>84.2</v>
      </c>
      <c r="S304">
        <v>11.9</v>
      </c>
      <c r="T304">
        <v>46.7</v>
      </c>
      <c r="U304">
        <v>126226568</v>
      </c>
      <c r="V304" s="5">
        <f t="shared" si="12"/>
        <v>22474</v>
      </c>
      <c r="W304" s="5">
        <f t="shared" ca="1" si="13"/>
        <v>46116</v>
      </c>
      <c r="X304">
        <f t="shared" ca="1" si="14"/>
        <v>64</v>
      </c>
    </row>
    <row r="305" spans="1:24" x14ac:dyDescent="0.25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1799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3">
        <v>19910000000000</v>
      </c>
      <c r="R305">
        <v>77</v>
      </c>
      <c r="S305">
        <v>9.4</v>
      </c>
      <c r="T305">
        <v>59.2</v>
      </c>
      <c r="U305">
        <v>1397715000</v>
      </c>
      <c r="V305" s="5">
        <f t="shared" si="12"/>
        <v>16711</v>
      </c>
      <c r="W305" s="5">
        <f t="shared" ca="1" si="13"/>
        <v>46116</v>
      </c>
      <c r="X305">
        <f t="shared" ca="1" si="14"/>
        <v>80</v>
      </c>
    </row>
    <row r="306" spans="1:24" x14ac:dyDescent="0.25">
      <c r="A306">
        <v>325</v>
      </c>
      <c r="B306" t="s">
        <v>38</v>
      </c>
      <c r="C306" t="s">
        <v>2376</v>
      </c>
      <c r="D306" t="s">
        <v>32</v>
      </c>
      <c r="E306" t="s">
        <v>2067</v>
      </c>
      <c r="F306" t="s">
        <v>2377</v>
      </c>
      <c r="G306" t="s">
        <v>38</v>
      </c>
      <c r="H306" t="b">
        <v>1</v>
      </c>
      <c r="I306" t="s">
        <v>2223</v>
      </c>
      <c r="J306" t="s">
        <v>2378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3">
        <v>21427700000000</v>
      </c>
      <c r="R306">
        <v>78.5</v>
      </c>
      <c r="S306">
        <v>9.6</v>
      </c>
      <c r="T306">
        <v>36.6</v>
      </c>
      <c r="U306">
        <v>328239523</v>
      </c>
      <c r="V306" s="5">
        <f t="shared" si="12"/>
        <v>15919</v>
      </c>
      <c r="W306" s="5">
        <f t="shared" ca="1" si="13"/>
        <v>46116</v>
      </c>
      <c r="X306">
        <f t="shared" ca="1" si="14"/>
        <v>82</v>
      </c>
    </row>
    <row r="307" spans="1:24" x14ac:dyDescent="0.25">
      <c r="A307">
        <v>325</v>
      </c>
      <c r="B307" t="s">
        <v>1848</v>
      </c>
      <c r="C307" t="s">
        <v>2379</v>
      </c>
      <c r="D307" t="s">
        <v>208</v>
      </c>
      <c r="E307" t="s">
        <v>1081</v>
      </c>
      <c r="F307" t="s">
        <v>2068</v>
      </c>
      <c r="G307" t="s">
        <v>1848</v>
      </c>
      <c r="H307" t="b">
        <v>1</v>
      </c>
      <c r="I307" t="s">
        <v>1799</v>
      </c>
      <c r="J307" t="s">
        <v>2380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3">
        <v>446314739528</v>
      </c>
      <c r="R307">
        <v>81.599999999999994</v>
      </c>
      <c r="S307">
        <v>25.4</v>
      </c>
      <c r="T307">
        <v>51.4</v>
      </c>
      <c r="U307">
        <v>8877067</v>
      </c>
      <c r="V307" s="5">
        <f t="shared" si="12"/>
        <v>17170</v>
      </c>
      <c r="W307" s="5">
        <f t="shared" ca="1" si="13"/>
        <v>46116</v>
      </c>
      <c r="X307">
        <f t="shared" ca="1" si="14"/>
        <v>79</v>
      </c>
    </row>
    <row r="308" spans="1:24" x14ac:dyDescent="0.25">
      <c r="A308">
        <v>325</v>
      </c>
      <c r="B308" t="s">
        <v>381</v>
      </c>
      <c r="C308" t="s">
        <v>2069</v>
      </c>
      <c r="D308" t="s">
        <v>32</v>
      </c>
      <c r="E308" t="s">
        <v>1241</v>
      </c>
      <c r="F308" t="s">
        <v>2381</v>
      </c>
      <c r="G308" t="s">
        <v>381</v>
      </c>
      <c r="H308" t="b">
        <v>0</v>
      </c>
      <c r="I308" t="s">
        <v>2223</v>
      </c>
      <c r="J308" t="s">
        <v>1243</v>
      </c>
      <c r="K308" t="s">
        <v>2070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3">
        <v>21427700000000</v>
      </c>
      <c r="R308">
        <v>78.5</v>
      </c>
      <c r="S308">
        <v>9.6</v>
      </c>
      <c r="T308">
        <v>36.6</v>
      </c>
      <c r="U308">
        <v>328239523</v>
      </c>
      <c r="V308" s="5">
        <f t="shared" si="12"/>
        <v>22601</v>
      </c>
      <c r="W308" s="5">
        <f t="shared" ca="1" si="13"/>
        <v>46116</v>
      </c>
      <c r="X308">
        <f t="shared" ca="1" si="14"/>
        <v>64</v>
      </c>
    </row>
    <row r="309" spans="1:24" x14ac:dyDescent="0.25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2071</v>
      </c>
      <c r="G309" t="s">
        <v>250</v>
      </c>
      <c r="H309" t="b">
        <v>1</v>
      </c>
      <c r="I309" t="s">
        <v>1799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3">
        <v>19910000000000</v>
      </c>
      <c r="R309">
        <v>77</v>
      </c>
      <c r="S309">
        <v>9.4</v>
      </c>
      <c r="T309">
        <v>59.2</v>
      </c>
      <c r="U309">
        <v>1397715000</v>
      </c>
      <c r="V309" s="5">
        <f t="shared" si="12"/>
        <v>20803</v>
      </c>
      <c r="W309" s="5">
        <f t="shared" ca="1" si="13"/>
        <v>46116</v>
      </c>
      <c r="X309">
        <f t="shared" ca="1" si="14"/>
        <v>69</v>
      </c>
    </row>
    <row r="310" spans="1:24" x14ac:dyDescent="0.25">
      <c r="A310">
        <v>325</v>
      </c>
      <c r="B310" t="s">
        <v>351</v>
      </c>
      <c r="C310" t="s">
        <v>2382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1799</v>
      </c>
      <c r="J310" t="s">
        <v>1252</v>
      </c>
      <c r="K310" t="s">
        <v>2383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3">
        <v>703082435360</v>
      </c>
      <c r="R310">
        <v>83.6</v>
      </c>
      <c r="S310">
        <v>10.1</v>
      </c>
      <c r="T310">
        <v>28.8</v>
      </c>
      <c r="U310">
        <v>8574832</v>
      </c>
      <c r="V310" s="5">
        <f t="shared" si="12"/>
        <v>18566</v>
      </c>
      <c r="W310" s="5">
        <f t="shared" ca="1" si="13"/>
        <v>46116</v>
      </c>
      <c r="X310">
        <f t="shared" ca="1" si="14"/>
        <v>75</v>
      </c>
    </row>
    <row r="311" spans="1:24" x14ac:dyDescent="0.25">
      <c r="A311">
        <v>325</v>
      </c>
      <c r="B311" t="s">
        <v>2491</v>
      </c>
      <c r="C311" t="s">
        <v>1254</v>
      </c>
      <c r="D311" t="s">
        <v>555</v>
      </c>
      <c r="E311" t="s">
        <v>555</v>
      </c>
      <c r="F311" t="s">
        <v>478</v>
      </c>
      <c r="G311" t="s">
        <v>2491</v>
      </c>
      <c r="H311" t="b">
        <v>0</v>
      </c>
      <c r="I311" t="s">
        <v>1799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3">
        <v>372062527489</v>
      </c>
      <c r="R311">
        <v>83.1</v>
      </c>
      <c r="S311">
        <v>13.1</v>
      </c>
      <c r="T311">
        <v>21</v>
      </c>
      <c r="U311">
        <v>5703569</v>
      </c>
      <c r="V311" s="5">
        <f t="shared" si="12"/>
        <v>10603</v>
      </c>
      <c r="W311" s="5">
        <f t="shared" ca="1" si="13"/>
        <v>46116</v>
      </c>
      <c r="X311">
        <f t="shared" ca="1" si="14"/>
        <v>97</v>
      </c>
    </row>
    <row r="312" spans="1:24" x14ac:dyDescent="0.25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1799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3">
        <v>19910000000000</v>
      </c>
      <c r="R312">
        <v>77</v>
      </c>
      <c r="S312">
        <v>9.4</v>
      </c>
      <c r="T312">
        <v>59.2</v>
      </c>
      <c r="U312">
        <v>1397715000</v>
      </c>
      <c r="V312" s="5">
        <f t="shared" si="12"/>
        <v>18994</v>
      </c>
      <c r="W312" s="5">
        <f t="shared" ca="1" si="13"/>
        <v>46116</v>
      </c>
      <c r="X312">
        <f t="shared" ca="1" si="14"/>
        <v>74</v>
      </c>
    </row>
    <row r="313" spans="1:24" x14ac:dyDescent="0.25">
      <c r="A313">
        <v>332</v>
      </c>
      <c r="B313" t="s">
        <v>38</v>
      </c>
      <c r="C313" t="s">
        <v>2384</v>
      </c>
      <c r="D313" t="s">
        <v>32</v>
      </c>
      <c r="E313" t="s">
        <v>2333</v>
      </c>
      <c r="F313" t="s">
        <v>2313</v>
      </c>
      <c r="G313" t="s">
        <v>38</v>
      </c>
      <c r="H313" t="b">
        <v>1</v>
      </c>
      <c r="I313" t="s">
        <v>1799</v>
      </c>
      <c r="J313" t="s">
        <v>2385</v>
      </c>
      <c r="K313" t="s">
        <v>2072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3">
        <v>21427700000000</v>
      </c>
      <c r="R313">
        <v>78.5</v>
      </c>
      <c r="S313">
        <v>9.6</v>
      </c>
      <c r="T313">
        <v>36.6</v>
      </c>
      <c r="U313">
        <v>328239523</v>
      </c>
      <c r="V313" s="5">
        <f t="shared" si="12"/>
        <v>23645</v>
      </c>
      <c r="W313" s="5">
        <f t="shared" ca="1" si="13"/>
        <v>46116</v>
      </c>
      <c r="X313">
        <f t="shared" ca="1" si="14"/>
        <v>61</v>
      </c>
    </row>
    <row r="314" spans="1:24" x14ac:dyDescent="0.25">
      <c r="A314">
        <v>332</v>
      </c>
      <c r="B314" t="s">
        <v>1805</v>
      </c>
      <c r="C314" t="s">
        <v>2073</v>
      </c>
      <c r="D314" t="s">
        <v>1853</v>
      </c>
      <c r="E314" t="s">
        <v>227</v>
      </c>
      <c r="F314" t="s">
        <v>1871</v>
      </c>
      <c r="G314" t="s">
        <v>1805</v>
      </c>
      <c r="H314" t="b">
        <v>1</v>
      </c>
      <c r="I314" t="s">
        <v>1799</v>
      </c>
      <c r="J314" t="s">
        <v>2074</v>
      </c>
      <c r="K314" t="s">
        <v>2075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3">
        <v>2827113184696</v>
      </c>
      <c r="R314">
        <v>81.3</v>
      </c>
      <c r="S314">
        <v>25.5</v>
      </c>
      <c r="T314">
        <v>30.6</v>
      </c>
      <c r="U314">
        <v>66834405</v>
      </c>
      <c r="V314" s="5">
        <f t="shared" si="12"/>
        <v>31194</v>
      </c>
      <c r="W314" s="5">
        <f t="shared" ca="1" si="13"/>
        <v>46116</v>
      </c>
      <c r="X314">
        <f t="shared" ca="1" si="14"/>
        <v>40</v>
      </c>
    </row>
    <row r="315" spans="1:24" x14ac:dyDescent="0.25">
      <c r="A315">
        <v>332</v>
      </c>
      <c r="B315" t="s">
        <v>1805</v>
      </c>
      <c r="C315" t="s">
        <v>2076</v>
      </c>
      <c r="D315" t="s">
        <v>1853</v>
      </c>
      <c r="E315" t="s">
        <v>227</v>
      </c>
      <c r="F315" t="s">
        <v>1871</v>
      </c>
      <c r="G315" t="s">
        <v>1805</v>
      </c>
      <c r="H315" t="b">
        <v>1</v>
      </c>
      <c r="I315" t="s">
        <v>1799</v>
      </c>
      <c r="J315" t="s">
        <v>2074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3">
        <v>2827113184696</v>
      </c>
      <c r="R315">
        <v>81.3</v>
      </c>
      <c r="S315">
        <v>25.5</v>
      </c>
      <c r="T315">
        <v>30.6</v>
      </c>
      <c r="U315">
        <v>66834405</v>
      </c>
      <c r="V315" s="5">
        <f t="shared" si="12"/>
        <v>30039</v>
      </c>
      <c r="W315" s="5">
        <f t="shared" ca="1" si="13"/>
        <v>46116</v>
      </c>
      <c r="X315">
        <f t="shared" ca="1" si="14"/>
        <v>44</v>
      </c>
    </row>
    <row r="316" spans="1:24" x14ac:dyDescent="0.25">
      <c r="A316">
        <v>332</v>
      </c>
      <c r="B316" t="s">
        <v>38</v>
      </c>
      <c r="C316" t="s">
        <v>2077</v>
      </c>
      <c r="D316" t="s">
        <v>32</v>
      </c>
      <c r="E316" t="s">
        <v>1269</v>
      </c>
      <c r="F316" t="s">
        <v>2386</v>
      </c>
      <c r="G316" t="s">
        <v>38</v>
      </c>
      <c r="H316" t="b">
        <v>1</v>
      </c>
      <c r="I316" t="s">
        <v>1799</v>
      </c>
      <c r="J316" t="s">
        <v>2078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3">
        <v>21427700000000</v>
      </c>
      <c r="R316">
        <v>78.5</v>
      </c>
      <c r="S316">
        <v>9.6</v>
      </c>
      <c r="T316">
        <v>36.6</v>
      </c>
      <c r="U316">
        <v>328239523</v>
      </c>
      <c r="V316" s="5">
        <f t="shared" si="12"/>
        <v>16641</v>
      </c>
      <c r="W316" s="5">
        <f t="shared" ca="1" si="13"/>
        <v>46116</v>
      </c>
      <c r="X316">
        <f t="shared" ca="1" si="14"/>
        <v>80</v>
      </c>
    </row>
    <row r="317" spans="1:24" x14ac:dyDescent="0.25">
      <c r="A317">
        <v>332</v>
      </c>
      <c r="B317" t="s">
        <v>250</v>
      </c>
      <c r="C317" t="s">
        <v>2387</v>
      </c>
      <c r="D317" t="s">
        <v>74</v>
      </c>
      <c r="E317" t="s">
        <v>1815</v>
      </c>
      <c r="F317" t="s">
        <v>556</v>
      </c>
      <c r="G317" t="s">
        <v>250</v>
      </c>
      <c r="H317" t="b">
        <v>0</v>
      </c>
      <c r="I317" t="s">
        <v>1799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3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 s="5">
        <f t="shared" si="12"/>
        <v>15638</v>
      </c>
      <c r="W317" s="5">
        <f t="shared" ca="1" si="13"/>
        <v>46116</v>
      </c>
      <c r="X317">
        <f t="shared" ca="1" si="14"/>
        <v>83</v>
      </c>
    </row>
    <row r="318" spans="1:24" x14ac:dyDescent="0.25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1799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3">
        <v>21427700000000</v>
      </c>
      <c r="R318">
        <v>78.5</v>
      </c>
      <c r="S318">
        <v>9.6</v>
      </c>
      <c r="T318">
        <v>36.6</v>
      </c>
      <c r="U318">
        <v>328239523</v>
      </c>
      <c r="V318" s="5">
        <f t="shared" si="12"/>
        <v>14532</v>
      </c>
      <c r="W318" s="5">
        <f t="shared" ca="1" si="13"/>
        <v>46116</v>
      </c>
      <c r="X318">
        <f t="shared" ca="1" si="14"/>
        <v>86</v>
      </c>
    </row>
    <row r="319" spans="1:24" x14ac:dyDescent="0.25">
      <c r="A319">
        <v>332</v>
      </c>
      <c r="B319" t="s">
        <v>72</v>
      </c>
      <c r="C319" t="s">
        <v>2079</v>
      </c>
      <c r="D319" t="s">
        <v>74</v>
      </c>
      <c r="E319" t="s">
        <v>1815</v>
      </c>
      <c r="F319" t="s">
        <v>72</v>
      </c>
      <c r="G319" t="s">
        <v>72</v>
      </c>
      <c r="H319" t="b">
        <v>0</v>
      </c>
      <c r="I319" t="s">
        <v>2223</v>
      </c>
      <c r="J319" t="s">
        <v>2080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3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 s="5">
        <f t="shared" si="12"/>
        <v>24629</v>
      </c>
      <c r="W319" s="5">
        <f t="shared" ca="1" si="13"/>
        <v>46116</v>
      </c>
      <c r="X319">
        <f t="shared" ca="1" si="14"/>
        <v>58</v>
      </c>
    </row>
    <row r="320" spans="1:24" x14ac:dyDescent="0.25">
      <c r="A320">
        <v>332</v>
      </c>
      <c r="B320" t="s">
        <v>72</v>
      </c>
      <c r="C320" t="s">
        <v>2081</v>
      </c>
      <c r="D320" t="s">
        <v>74</v>
      </c>
      <c r="E320" t="s">
        <v>1815</v>
      </c>
      <c r="F320" t="s">
        <v>72</v>
      </c>
      <c r="G320" t="s">
        <v>72</v>
      </c>
      <c r="H320" t="b">
        <v>0</v>
      </c>
      <c r="I320" t="s">
        <v>1799</v>
      </c>
      <c r="J320" t="s">
        <v>2080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3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 s="5">
        <f t="shared" si="12"/>
        <v>23626</v>
      </c>
      <c r="W320" s="5">
        <f t="shared" ca="1" si="13"/>
        <v>46116</v>
      </c>
      <c r="X320">
        <f t="shared" ca="1" si="14"/>
        <v>61</v>
      </c>
    </row>
    <row r="321" spans="1:24" x14ac:dyDescent="0.25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2388</v>
      </c>
      <c r="G321" t="s">
        <v>103</v>
      </c>
      <c r="H321" t="b">
        <v>1</v>
      </c>
      <c r="I321" t="s">
        <v>1799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3">
        <v>21427700000000</v>
      </c>
      <c r="R321">
        <v>78.5</v>
      </c>
      <c r="S321">
        <v>9.6</v>
      </c>
      <c r="T321">
        <v>36.6</v>
      </c>
      <c r="U321">
        <v>328239523</v>
      </c>
      <c r="V321" s="5">
        <f t="shared" si="12"/>
        <v>19722</v>
      </c>
      <c r="W321" s="5">
        <f t="shared" ca="1" si="13"/>
        <v>46116</v>
      </c>
      <c r="X321">
        <f t="shared" ca="1" si="14"/>
        <v>72</v>
      </c>
    </row>
    <row r="322" spans="1:24" x14ac:dyDescent="0.25">
      <c r="A322">
        <v>332</v>
      </c>
      <c r="B322" t="s">
        <v>103</v>
      </c>
      <c r="C322" t="s">
        <v>1289</v>
      </c>
      <c r="D322" t="s">
        <v>32</v>
      </c>
      <c r="E322" t="s">
        <v>1875</v>
      </c>
      <c r="F322" t="s">
        <v>2388</v>
      </c>
      <c r="G322" t="s">
        <v>103</v>
      </c>
      <c r="H322" t="b">
        <v>1</v>
      </c>
      <c r="I322" t="s">
        <v>1799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3">
        <v>21427700000000</v>
      </c>
      <c r="R322">
        <v>78.5</v>
      </c>
      <c r="S322">
        <v>9.6</v>
      </c>
      <c r="T322">
        <v>36.6</v>
      </c>
      <c r="U322">
        <v>328239523</v>
      </c>
      <c r="V322" s="5">
        <f t="shared" si="12"/>
        <v>20348</v>
      </c>
      <c r="W322" s="5">
        <f t="shared" ca="1" si="13"/>
        <v>46116</v>
      </c>
      <c r="X322">
        <f t="shared" ca="1" si="14"/>
        <v>70</v>
      </c>
    </row>
    <row r="323" spans="1:24" x14ac:dyDescent="0.25">
      <c r="A323">
        <v>332</v>
      </c>
      <c r="B323" t="s">
        <v>103</v>
      </c>
      <c r="C323" t="s">
        <v>2389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1799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3">
        <v>21427700000000</v>
      </c>
      <c r="R323">
        <v>78.5</v>
      </c>
      <c r="S323">
        <v>9.6</v>
      </c>
      <c r="T323">
        <v>36.6</v>
      </c>
      <c r="U323">
        <v>328239523</v>
      </c>
      <c r="V323" s="5">
        <f t="shared" ref="V323:V386" si="15">DATE(M323, N323, O323 )</f>
        <v>19050</v>
      </c>
      <c r="W323" s="5">
        <f t="shared" ref="W323:W386" ca="1" si="16">TODAY()</f>
        <v>46116</v>
      </c>
      <c r="X323">
        <f t="shared" ref="X323:X386" ca="1" si="17">INT(YEARFRAC(V323, W323))</f>
        <v>74</v>
      </c>
    </row>
    <row r="324" spans="1:24" x14ac:dyDescent="0.25">
      <c r="A324">
        <v>344</v>
      </c>
      <c r="B324" t="s">
        <v>72</v>
      </c>
      <c r="C324" t="s">
        <v>2390</v>
      </c>
      <c r="D324" t="s">
        <v>32</v>
      </c>
      <c r="E324" t="s">
        <v>831</v>
      </c>
      <c r="F324" t="s">
        <v>2082</v>
      </c>
      <c r="G324" t="s">
        <v>72</v>
      </c>
      <c r="H324" t="b">
        <v>0</v>
      </c>
      <c r="I324" t="s">
        <v>2223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3">
        <v>21427700000000</v>
      </c>
      <c r="R324">
        <v>78.5</v>
      </c>
      <c r="S324">
        <v>9.6</v>
      </c>
      <c r="T324">
        <v>36.6</v>
      </c>
      <c r="U324">
        <v>328239523</v>
      </c>
      <c r="V324" s="5">
        <f t="shared" si="15"/>
        <v>13150</v>
      </c>
      <c r="W324" s="5">
        <f t="shared" ca="1" si="16"/>
        <v>46116</v>
      </c>
      <c r="X324">
        <f t="shared" ca="1" si="17"/>
        <v>90</v>
      </c>
    </row>
    <row r="325" spans="1:24" x14ac:dyDescent="0.25">
      <c r="A325">
        <v>344</v>
      </c>
      <c r="B325" t="s">
        <v>103</v>
      </c>
      <c r="C325" t="s">
        <v>2083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2223</v>
      </c>
      <c r="J325" t="s">
        <v>1301</v>
      </c>
      <c r="K325" t="s">
        <v>2084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3">
        <v>21427700000000</v>
      </c>
      <c r="R325">
        <v>78.5</v>
      </c>
      <c r="S325">
        <v>9.6</v>
      </c>
      <c r="T325">
        <v>36.6</v>
      </c>
      <c r="U325">
        <v>328239523</v>
      </c>
      <c r="V325" s="5">
        <f t="shared" si="15"/>
        <v>12420</v>
      </c>
      <c r="W325" s="5">
        <f t="shared" ca="1" si="16"/>
        <v>46116</v>
      </c>
      <c r="X325">
        <f t="shared" ca="1" si="17"/>
        <v>92</v>
      </c>
    </row>
    <row r="326" spans="1:24" x14ac:dyDescent="0.25">
      <c r="A326">
        <v>344</v>
      </c>
      <c r="B326" t="s">
        <v>2491</v>
      </c>
      <c r="C326" t="s">
        <v>2391</v>
      </c>
      <c r="D326" t="s">
        <v>32</v>
      </c>
      <c r="E326" t="s">
        <v>61</v>
      </c>
      <c r="F326" t="s">
        <v>2392</v>
      </c>
      <c r="G326" t="s">
        <v>2491</v>
      </c>
      <c r="H326" t="b">
        <v>1</v>
      </c>
      <c r="I326" t="s">
        <v>1799</v>
      </c>
      <c r="J326" t="s">
        <v>2393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3">
        <v>21427700000000</v>
      </c>
      <c r="R326">
        <v>78.5</v>
      </c>
      <c r="S326">
        <v>9.6</v>
      </c>
      <c r="T326">
        <v>36.6</v>
      </c>
      <c r="U326">
        <v>328239523</v>
      </c>
      <c r="V326" s="5">
        <f t="shared" si="15"/>
        <v>24731</v>
      </c>
      <c r="W326" s="5">
        <f t="shared" ca="1" si="16"/>
        <v>46116</v>
      </c>
      <c r="X326">
        <f t="shared" ca="1" si="17"/>
        <v>58</v>
      </c>
    </row>
    <row r="327" spans="1:24" x14ac:dyDescent="0.25">
      <c r="A327">
        <v>344</v>
      </c>
      <c r="B327" t="s">
        <v>38</v>
      </c>
      <c r="C327" t="s">
        <v>2394</v>
      </c>
      <c r="D327" t="s">
        <v>105</v>
      </c>
      <c r="E327" t="s">
        <v>1308</v>
      </c>
      <c r="F327" t="s">
        <v>2085</v>
      </c>
      <c r="G327" t="s">
        <v>38</v>
      </c>
      <c r="H327" t="b">
        <v>1</v>
      </c>
      <c r="I327" t="s">
        <v>1799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3">
        <v>19910000000000</v>
      </c>
      <c r="R327">
        <v>77</v>
      </c>
      <c r="S327">
        <v>9.4</v>
      </c>
      <c r="T327">
        <v>59.2</v>
      </c>
      <c r="U327">
        <v>1397715000</v>
      </c>
      <c r="V327" s="5">
        <f t="shared" si="15"/>
        <v>23642</v>
      </c>
      <c r="W327" s="5">
        <f t="shared" ca="1" si="16"/>
        <v>46116</v>
      </c>
      <c r="X327">
        <f t="shared" ca="1" si="17"/>
        <v>61</v>
      </c>
    </row>
    <row r="328" spans="1:24" x14ac:dyDescent="0.25">
      <c r="A328">
        <v>344</v>
      </c>
      <c r="B328" t="s">
        <v>462</v>
      </c>
      <c r="C328" t="s">
        <v>2395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1799</v>
      </c>
      <c r="J328" t="s">
        <v>2396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3">
        <v>21427700000000</v>
      </c>
      <c r="R328">
        <v>78.5</v>
      </c>
      <c r="S328">
        <v>9.6</v>
      </c>
      <c r="T328">
        <v>36.6</v>
      </c>
      <c r="U328">
        <v>328239523</v>
      </c>
      <c r="V328" s="5">
        <f t="shared" si="15"/>
        <v>15604</v>
      </c>
      <c r="W328" s="5">
        <f t="shared" ca="1" si="16"/>
        <v>46116</v>
      </c>
      <c r="X328">
        <f t="shared" ca="1" si="17"/>
        <v>83</v>
      </c>
    </row>
    <row r="329" spans="1:24" x14ac:dyDescent="0.25">
      <c r="A329">
        <v>344</v>
      </c>
      <c r="B329" t="s">
        <v>21</v>
      </c>
      <c r="C329" t="s">
        <v>2086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2223</v>
      </c>
      <c r="J329" t="s">
        <v>2087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3">
        <v>1394116310769</v>
      </c>
      <c r="R329">
        <v>83.3</v>
      </c>
      <c r="S329">
        <v>14.2</v>
      </c>
      <c r="T329">
        <v>47</v>
      </c>
      <c r="U329">
        <v>47076781</v>
      </c>
      <c r="V329" s="5">
        <f t="shared" si="15"/>
        <v>25028</v>
      </c>
      <c r="W329" s="5">
        <f t="shared" ca="1" si="16"/>
        <v>46116</v>
      </c>
      <c r="X329">
        <f t="shared" ca="1" si="17"/>
        <v>57</v>
      </c>
    </row>
    <row r="330" spans="1:24" x14ac:dyDescent="0.25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2088</v>
      </c>
      <c r="G330" t="s">
        <v>351</v>
      </c>
      <c r="H330" t="b">
        <v>0</v>
      </c>
      <c r="I330" t="s">
        <v>2223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3">
        <v>21427700000000</v>
      </c>
      <c r="R330">
        <v>78.5</v>
      </c>
      <c r="S330">
        <v>9.6</v>
      </c>
      <c r="T330">
        <v>36.6</v>
      </c>
      <c r="U330">
        <v>328239523</v>
      </c>
      <c r="V330" s="5">
        <f t="shared" si="15"/>
        <v>19845</v>
      </c>
      <c r="W330" s="5">
        <f t="shared" ca="1" si="16"/>
        <v>46116</v>
      </c>
      <c r="X330">
        <f t="shared" ca="1" si="17"/>
        <v>71</v>
      </c>
    </row>
    <row r="331" spans="1:24" x14ac:dyDescent="0.25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2223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3">
        <v>21427700000000</v>
      </c>
      <c r="R331">
        <v>78.5</v>
      </c>
      <c r="S331">
        <v>9.6</v>
      </c>
      <c r="T331">
        <v>36.6</v>
      </c>
      <c r="U331">
        <v>328239523</v>
      </c>
      <c r="V331" s="5">
        <f t="shared" si="15"/>
        <v>23445</v>
      </c>
      <c r="W331" s="5">
        <f t="shared" ca="1" si="16"/>
        <v>46116</v>
      </c>
      <c r="X331">
        <f t="shared" ca="1" si="17"/>
        <v>62</v>
      </c>
    </row>
    <row r="332" spans="1:24" x14ac:dyDescent="0.25">
      <c r="A332">
        <v>352</v>
      </c>
      <c r="B332" t="s">
        <v>72</v>
      </c>
      <c r="C332" t="s">
        <v>2397</v>
      </c>
      <c r="D332" t="s">
        <v>680</v>
      </c>
      <c r="E332" t="s">
        <v>1949</v>
      </c>
      <c r="F332" t="s">
        <v>1829</v>
      </c>
      <c r="G332" t="s">
        <v>72</v>
      </c>
      <c r="H332" t="b">
        <v>1</v>
      </c>
      <c r="I332" t="s">
        <v>1799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3">
        <v>2001244392042</v>
      </c>
      <c r="R332">
        <v>82.9</v>
      </c>
      <c r="S332">
        <v>24.3</v>
      </c>
      <c r="T332">
        <v>59.1</v>
      </c>
      <c r="U332">
        <v>60297396</v>
      </c>
      <c r="V332" s="5">
        <f t="shared" si="15"/>
        <v>13422</v>
      </c>
      <c r="W332" s="5">
        <f t="shared" ca="1" si="16"/>
        <v>46116</v>
      </c>
      <c r="X332">
        <f t="shared" ca="1" si="17"/>
        <v>89</v>
      </c>
    </row>
    <row r="333" spans="1:24" x14ac:dyDescent="0.25">
      <c r="A333">
        <v>352</v>
      </c>
      <c r="B333" t="s">
        <v>1848</v>
      </c>
      <c r="C333" t="s">
        <v>1328</v>
      </c>
      <c r="D333" t="s">
        <v>1853</v>
      </c>
      <c r="E333" t="s">
        <v>1329</v>
      </c>
      <c r="F333" t="s">
        <v>2089</v>
      </c>
      <c r="G333" t="s">
        <v>1848</v>
      </c>
      <c r="H333" t="b">
        <v>1</v>
      </c>
      <c r="I333" t="s">
        <v>2223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3">
        <v>2827113184696</v>
      </c>
      <c r="R333">
        <v>81.3</v>
      </c>
      <c r="S333">
        <v>25.5</v>
      </c>
      <c r="T333">
        <v>30.6</v>
      </c>
      <c r="U333">
        <v>66834405</v>
      </c>
      <c r="V333" s="5">
        <f t="shared" si="15"/>
        <v>24741</v>
      </c>
      <c r="W333" s="5">
        <f t="shared" ca="1" si="16"/>
        <v>46116</v>
      </c>
      <c r="X333">
        <f t="shared" ca="1" si="17"/>
        <v>58</v>
      </c>
    </row>
    <row r="334" spans="1:24" x14ac:dyDescent="0.25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1799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3">
        <v>21427700000000</v>
      </c>
      <c r="R334">
        <v>78.5</v>
      </c>
      <c r="S334">
        <v>9.6</v>
      </c>
      <c r="T334">
        <v>36.6</v>
      </c>
      <c r="U334">
        <v>328239523</v>
      </c>
      <c r="V334" s="5">
        <f t="shared" si="15"/>
        <v>30256</v>
      </c>
      <c r="W334" s="5">
        <f t="shared" ca="1" si="16"/>
        <v>46116</v>
      </c>
      <c r="X334">
        <f t="shared" ca="1" si="17"/>
        <v>43</v>
      </c>
    </row>
    <row r="335" spans="1:24" x14ac:dyDescent="0.25">
      <c r="A335">
        <v>352</v>
      </c>
      <c r="B335" t="s">
        <v>292</v>
      </c>
      <c r="C335" t="s">
        <v>2398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2223</v>
      </c>
      <c r="J335" t="s">
        <v>2399</v>
      </c>
      <c r="K335" t="s">
        <v>2090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3">
        <v>21427700000000</v>
      </c>
      <c r="R335">
        <v>78.5</v>
      </c>
      <c r="S335">
        <v>9.6</v>
      </c>
      <c r="T335">
        <v>36.6</v>
      </c>
      <c r="U335">
        <v>328239523</v>
      </c>
      <c r="V335" s="5">
        <f t="shared" si="15"/>
        <v>25427</v>
      </c>
      <c r="W335" s="5">
        <f t="shared" ca="1" si="16"/>
        <v>46116</v>
      </c>
      <c r="X335">
        <f t="shared" ca="1" si="17"/>
        <v>56</v>
      </c>
    </row>
    <row r="336" spans="1:24" x14ac:dyDescent="0.25">
      <c r="A336">
        <v>352</v>
      </c>
      <c r="B336" t="s">
        <v>2491</v>
      </c>
      <c r="C336" t="s">
        <v>1338</v>
      </c>
      <c r="D336" t="s">
        <v>32</v>
      </c>
      <c r="E336" t="s">
        <v>1339</v>
      </c>
      <c r="F336" t="s">
        <v>2266</v>
      </c>
      <c r="G336" t="s">
        <v>2491</v>
      </c>
      <c r="H336" t="b">
        <v>0</v>
      </c>
      <c r="I336" t="s">
        <v>1799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3">
        <v>21427700000000</v>
      </c>
      <c r="R336">
        <v>78.5</v>
      </c>
      <c r="S336">
        <v>9.6</v>
      </c>
      <c r="T336">
        <v>36.6</v>
      </c>
      <c r="U336">
        <v>328239523</v>
      </c>
      <c r="V336" s="5">
        <f t="shared" si="15"/>
        <v>23699</v>
      </c>
      <c r="W336" s="5">
        <f t="shared" ca="1" si="16"/>
        <v>46116</v>
      </c>
      <c r="X336">
        <f t="shared" ca="1" si="17"/>
        <v>61</v>
      </c>
    </row>
    <row r="337" spans="1:24" x14ac:dyDescent="0.25">
      <c r="A337">
        <v>352</v>
      </c>
      <c r="B337" t="s">
        <v>2491</v>
      </c>
      <c r="C337" t="s">
        <v>2091</v>
      </c>
      <c r="D337" t="s">
        <v>32</v>
      </c>
      <c r="E337" t="s">
        <v>100</v>
      </c>
      <c r="F337" t="s">
        <v>2092</v>
      </c>
      <c r="G337" t="s">
        <v>2491</v>
      </c>
      <c r="H337" t="b">
        <v>1</v>
      </c>
      <c r="I337" t="s">
        <v>1799</v>
      </c>
      <c r="J337" t="s">
        <v>2093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3">
        <v>21427700000000</v>
      </c>
      <c r="R337">
        <v>78.5</v>
      </c>
      <c r="S337">
        <v>9.6</v>
      </c>
      <c r="T337">
        <v>36.6</v>
      </c>
      <c r="U337">
        <v>328239523</v>
      </c>
      <c r="V337" s="5">
        <f t="shared" si="15"/>
        <v>22596</v>
      </c>
      <c r="W337" s="5">
        <f t="shared" ca="1" si="16"/>
        <v>46116</v>
      </c>
      <c r="X337">
        <f t="shared" ca="1" si="17"/>
        <v>64</v>
      </c>
    </row>
    <row r="338" spans="1:24" x14ac:dyDescent="0.25">
      <c r="A338">
        <v>352</v>
      </c>
      <c r="B338" t="s">
        <v>38</v>
      </c>
      <c r="C338" t="s">
        <v>2094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1799</v>
      </c>
      <c r="J338" t="s">
        <v>2095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3">
        <v>21427700000000</v>
      </c>
      <c r="R338">
        <v>78.5</v>
      </c>
      <c r="S338">
        <v>9.6</v>
      </c>
      <c r="T338">
        <v>36.6</v>
      </c>
      <c r="U338">
        <v>328239523</v>
      </c>
      <c r="V338" s="5">
        <f t="shared" si="15"/>
        <v>10596</v>
      </c>
      <c r="W338" s="5">
        <f t="shared" ca="1" si="16"/>
        <v>46116</v>
      </c>
      <c r="X338">
        <f t="shared" ca="1" si="17"/>
        <v>97</v>
      </c>
    </row>
    <row r="339" spans="1:24" x14ac:dyDescent="0.25">
      <c r="A339">
        <v>352</v>
      </c>
      <c r="B339" t="s">
        <v>2491</v>
      </c>
      <c r="C339" t="s">
        <v>1349</v>
      </c>
      <c r="D339" t="s">
        <v>32</v>
      </c>
      <c r="E339" t="s">
        <v>2096</v>
      </c>
      <c r="F339" t="s">
        <v>2240</v>
      </c>
      <c r="G339" t="s">
        <v>2491</v>
      </c>
      <c r="H339" t="b">
        <v>1</v>
      </c>
      <c r="I339" t="s">
        <v>1799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3">
        <v>21427700000000</v>
      </c>
      <c r="R339">
        <v>78.5</v>
      </c>
      <c r="S339">
        <v>9.6</v>
      </c>
      <c r="T339">
        <v>36.6</v>
      </c>
      <c r="U339">
        <v>328239523</v>
      </c>
      <c r="V339" s="5">
        <f t="shared" si="15"/>
        <v>25558</v>
      </c>
      <c r="W339" s="5">
        <f t="shared" ca="1" si="16"/>
        <v>46116</v>
      </c>
      <c r="X339">
        <f t="shared" ca="1" si="17"/>
        <v>56</v>
      </c>
    </row>
    <row r="340" spans="1:24" x14ac:dyDescent="0.25">
      <c r="A340">
        <v>352</v>
      </c>
      <c r="B340" t="s">
        <v>2491</v>
      </c>
      <c r="C340" t="s">
        <v>1352</v>
      </c>
      <c r="D340" t="s">
        <v>32</v>
      </c>
      <c r="E340" t="s">
        <v>1353</v>
      </c>
      <c r="F340" t="s">
        <v>2240</v>
      </c>
      <c r="G340" t="s">
        <v>2491</v>
      </c>
      <c r="H340" t="b">
        <v>1</v>
      </c>
      <c r="I340" t="s">
        <v>1799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3">
        <v>21427700000000</v>
      </c>
      <c r="R340">
        <v>78.5</v>
      </c>
      <c r="S340">
        <v>9.6</v>
      </c>
      <c r="T340">
        <v>36.6</v>
      </c>
      <c r="U340">
        <v>328239523</v>
      </c>
      <c r="V340" s="5">
        <f t="shared" si="15"/>
        <v>22477</v>
      </c>
      <c r="W340" s="5">
        <f t="shared" ca="1" si="16"/>
        <v>46116</v>
      </c>
      <c r="X340">
        <f t="shared" ca="1" si="17"/>
        <v>64</v>
      </c>
    </row>
    <row r="341" spans="1:24" x14ac:dyDescent="0.25">
      <c r="A341">
        <v>352</v>
      </c>
      <c r="B341" t="s">
        <v>72</v>
      </c>
      <c r="C341" t="s">
        <v>1355</v>
      </c>
      <c r="D341" t="s">
        <v>327</v>
      </c>
      <c r="E341" t="s">
        <v>1884</v>
      </c>
      <c r="F341" t="s">
        <v>2097</v>
      </c>
      <c r="G341" t="s">
        <v>72</v>
      </c>
      <c r="H341" t="b">
        <v>1</v>
      </c>
      <c r="I341" t="s">
        <v>1799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3">
        <v>1699876578871</v>
      </c>
      <c r="R341">
        <v>72.7</v>
      </c>
      <c r="S341">
        <v>11.4</v>
      </c>
      <c r="T341">
        <v>46.2</v>
      </c>
      <c r="U341">
        <v>144373535</v>
      </c>
      <c r="V341" s="5">
        <f t="shared" si="15"/>
        <v>20924</v>
      </c>
      <c r="W341" s="5">
        <f t="shared" ca="1" si="16"/>
        <v>46116</v>
      </c>
      <c r="X341">
        <f t="shared" ca="1" si="17"/>
        <v>68</v>
      </c>
    </row>
    <row r="342" spans="1:24" x14ac:dyDescent="0.25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2062</v>
      </c>
      <c r="G342" t="s">
        <v>38</v>
      </c>
      <c r="H342" t="b">
        <v>1</v>
      </c>
      <c r="I342" t="s">
        <v>1799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3">
        <v>19910000000000</v>
      </c>
      <c r="R342">
        <v>77</v>
      </c>
      <c r="S342">
        <v>9.4</v>
      </c>
      <c r="T342">
        <v>59.2</v>
      </c>
      <c r="U342">
        <v>1397715000</v>
      </c>
      <c r="V342" s="5">
        <f t="shared" si="15"/>
        <v>23725</v>
      </c>
      <c r="W342" s="5">
        <f t="shared" ca="1" si="16"/>
        <v>46116</v>
      </c>
      <c r="X342">
        <f t="shared" ca="1" si="17"/>
        <v>61</v>
      </c>
    </row>
    <row r="343" spans="1:24" x14ac:dyDescent="0.25">
      <c r="A343">
        <v>352</v>
      </c>
      <c r="B343" t="s">
        <v>292</v>
      </c>
      <c r="C343" t="s">
        <v>2098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2223</v>
      </c>
      <c r="J343" t="s">
        <v>2099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3">
        <v>21427700000000</v>
      </c>
      <c r="R343">
        <v>78.5</v>
      </c>
      <c r="S343">
        <v>9.6</v>
      </c>
      <c r="T343">
        <v>36.6</v>
      </c>
      <c r="U343">
        <v>328239523</v>
      </c>
      <c r="V343" s="5">
        <f t="shared" si="15"/>
        <v>22521</v>
      </c>
      <c r="W343" s="5">
        <f t="shared" ca="1" si="16"/>
        <v>46116</v>
      </c>
      <c r="X343">
        <f t="shared" ca="1" si="17"/>
        <v>64</v>
      </c>
    </row>
    <row r="344" spans="1:24" x14ac:dyDescent="0.25">
      <c r="A344">
        <v>365</v>
      </c>
      <c r="B344" t="s">
        <v>2491</v>
      </c>
      <c r="C344" t="s">
        <v>2400</v>
      </c>
      <c r="D344" t="s">
        <v>32</v>
      </c>
      <c r="E344" t="s">
        <v>592</v>
      </c>
      <c r="F344" t="s">
        <v>2100</v>
      </c>
      <c r="G344" t="s">
        <v>2491</v>
      </c>
      <c r="H344" t="b">
        <v>1</v>
      </c>
      <c r="I344" t="s">
        <v>1799</v>
      </c>
      <c r="J344" t="s">
        <v>2401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3">
        <v>21427700000000</v>
      </c>
      <c r="R344">
        <v>78.5</v>
      </c>
      <c r="S344">
        <v>9.6</v>
      </c>
      <c r="T344">
        <v>36.6</v>
      </c>
      <c r="U344">
        <v>328239523</v>
      </c>
      <c r="V344" s="5">
        <f t="shared" si="15"/>
        <v>18596</v>
      </c>
      <c r="W344" s="5">
        <f t="shared" ca="1" si="16"/>
        <v>46116</v>
      </c>
      <c r="X344">
        <f t="shared" ca="1" si="17"/>
        <v>75</v>
      </c>
    </row>
    <row r="345" spans="1:24" x14ac:dyDescent="0.25">
      <c r="A345">
        <v>365</v>
      </c>
      <c r="B345" t="s">
        <v>2491</v>
      </c>
      <c r="C345" t="s">
        <v>1366</v>
      </c>
      <c r="D345" t="s">
        <v>1853</v>
      </c>
      <c r="E345" t="s">
        <v>227</v>
      </c>
      <c r="F345" t="s">
        <v>2240</v>
      </c>
      <c r="G345" t="s">
        <v>2491</v>
      </c>
      <c r="H345" t="b">
        <v>1</v>
      </c>
      <c r="I345" t="s">
        <v>1799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3">
        <v>2827113184696</v>
      </c>
      <c r="R345">
        <v>81.3</v>
      </c>
      <c r="S345">
        <v>25.5</v>
      </c>
      <c r="T345">
        <v>30.6</v>
      </c>
      <c r="U345">
        <v>66834405</v>
      </c>
      <c r="V345" s="5">
        <f t="shared" si="15"/>
        <v>24407</v>
      </c>
      <c r="W345" s="5">
        <f t="shared" ca="1" si="16"/>
        <v>46116</v>
      </c>
      <c r="X345">
        <f t="shared" ca="1" si="17"/>
        <v>59</v>
      </c>
    </row>
    <row r="346" spans="1:24" x14ac:dyDescent="0.25">
      <c r="A346">
        <v>365</v>
      </c>
      <c r="B346" t="s">
        <v>250</v>
      </c>
      <c r="C346" t="s">
        <v>1369</v>
      </c>
      <c r="D346" t="s">
        <v>2061</v>
      </c>
      <c r="E346" t="s">
        <v>1370</v>
      </c>
      <c r="F346" t="s">
        <v>1371</v>
      </c>
      <c r="G346" t="s">
        <v>250</v>
      </c>
      <c r="H346" t="b">
        <v>0</v>
      </c>
      <c r="I346" t="s">
        <v>1799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3">
        <v>348078018464</v>
      </c>
      <c r="R346">
        <v>81</v>
      </c>
      <c r="S346">
        <v>32.4</v>
      </c>
      <c r="T346">
        <v>23.8</v>
      </c>
      <c r="U346">
        <v>5818553</v>
      </c>
      <c r="V346" s="5">
        <f t="shared" si="15"/>
        <v>17528</v>
      </c>
      <c r="W346" s="5">
        <f t="shared" ca="1" si="16"/>
        <v>46116</v>
      </c>
      <c r="X346">
        <f t="shared" ca="1" si="17"/>
        <v>78</v>
      </c>
    </row>
    <row r="347" spans="1:24" x14ac:dyDescent="0.25">
      <c r="A347">
        <v>365</v>
      </c>
      <c r="B347" t="s">
        <v>250</v>
      </c>
      <c r="C347" t="s">
        <v>2402</v>
      </c>
      <c r="D347" t="s">
        <v>2061</v>
      </c>
      <c r="E347" t="s">
        <v>1370</v>
      </c>
      <c r="F347" t="s">
        <v>1371</v>
      </c>
      <c r="G347" t="s">
        <v>250</v>
      </c>
      <c r="H347" t="b">
        <v>0</v>
      </c>
      <c r="I347" t="s">
        <v>2223</v>
      </c>
      <c r="J347" t="s">
        <v>1372</v>
      </c>
      <c r="K347" t="s">
        <v>2403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3">
        <v>348078018464</v>
      </c>
      <c r="R347">
        <v>81</v>
      </c>
      <c r="S347">
        <v>32.4</v>
      </c>
      <c r="T347">
        <v>23.8</v>
      </c>
      <c r="U347">
        <v>5818553</v>
      </c>
      <c r="V347" s="5">
        <f t="shared" si="15"/>
        <v>27760</v>
      </c>
      <c r="W347" s="5">
        <f t="shared" ca="1" si="16"/>
        <v>46116</v>
      </c>
      <c r="X347">
        <f t="shared" ca="1" si="17"/>
        <v>50</v>
      </c>
    </row>
    <row r="348" spans="1:24" x14ac:dyDescent="0.25">
      <c r="A348">
        <v>365</v>
      </c>
      <c r="B348" t="s">
        <v>250</v>
      </c>
      <c r="C348" t="s">
        <v>2101</v>
      </c>
      <c r="D348" t="s">
        <v>2061</v>
      </c>
      <c r="E348" t="s">
        <v>1370</v>
      </c>
      <c r="F348" t="s">
        <v>1371</v>
      </c>
      <c r="G348" t="s">
        <v>250</v>
      </c>
      <c r="H348" t="b">
        <v>0</v>
      </c>
      <c r="I348" t="s">
        <v>1799</v>
      </c>
      <c r="J348" t="s">
        <v>1372</v>
      </c>
      <c r="K348" t="s">
        <v>2102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3">
        <v>348078018464</v>
      </c>
      <c r="R348">
        <v>81</v>
      </c>
      <c r="S348">
        <v>32.4</v>
      </c>
      <c r="T348">
        <v>23.8</v>
      </c>
      <c r="U348">
        <v>5818553</v>
      </c>
      <c r="V348" s="5">
        <f t="shared" si="15"/>
        <v>28856</v>
      </c>
      <c r="W348" s="5">
        <f t="shared" ca="1" si="16"/>
        <v>46116</v>
      </c>
      <c r="X348">
        <f t="shared" ca="1" si="17"/>
        <v>47</v>
      </c>
    </row>
    <row r="349" spans="1:24" x14ac:dyDescent="0.25">
      <c r="A349">
        <v>365</v>
      </c>
      <c r="B349" t="s">
        <v>351</v>
      </c>
      <c r="C349" t="s">
        <v>2404</v>
      </c>
      <c r="D349" t="s">
        <v>680</v>
      </c>
      <c r="E349" t="s">
        <v>2405</v>
      </c>
      <c r="F349" t="s">
        <v>1929</v>
      </c>
      <c r="G349" t="s">
        <v>351</v>
      </c>
      <c r="H349" t="b">
        <v>0</v>
      </c>
      <c r="I349" t="s">
        <v>2223</v>
      </c>
      <c r="J349" t="s">
        <v>1380</v>
      </c>
      <c r="K349" t="s">
        <v>2103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3">
        <v>2001244392042</v>
      </c>
      <c r="R349">
        <v>82.9</v>
      </c>
      <c r="S349">
        <v>24.3</v>
      </c>
      <c r="T349">
        <v>59.1</v>
      </c>
      <c r="U349">
        <v>60297396</v>
      </c>
      <c r="V349" s="5">
        <f t="shared" si="15"/>
        <v>15707</v>
      </c>
      <c r="W349" s="5">
        <f t="shared" ca="1" si="16"/>
        <v>46116</v>
      </c>
      <c r="X349">
        <f t="shared" ca="1" si="17"/>
        <v>83</v>
      </c>
    </row>
    <row r="350" spans="1:24" x14ac:dyDescent="0.25">
      <c r="A350">
        <v>365</v>
      </c>
      <c r="B350" t="s">
        <v>1800</v>
      </c>
      <c r="C350" t="s">
        <v>1382</v>
      </c>
      <c r="D350" t="s">
        <v>105</v>
      </c>
      <c r="E350" t="s">
        <v>214</v>
      </c>
      <c r="F350" t="s">
        <v>215</v>
      </c>
      <c r="G350" t="s">
        <v>1800</v>
      </c>
      <c r="H350" t="b">
        <v>1</v>
      </c>
      <c r="I350" t="s">
        <v>1799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3">
        <v>19910000000000</v>
      </c>
      <c r="R350">
        <v>77</v>
      </c>
      <c r="S350">
        <v>9.4</v>
      </c>
      <c r="T350">
        <v>59.2</v>
      </c>
      <c r="U350">
        <v>1397715000</v>
      </c>
      <c r="V350" s="5">
        <f t="shared" si="15"/>
        <v>24838</v>
      </c>
      <c r="W350" s="5">
        <f t="shared" ca="1" si="16"/>
        <v>46116</v>
      </c>
      <c r="X350">
        <f t="shared" ca="1" si="17"/>
        <v>58</v>
      </c>
    </row>
    <row r="351" spans="1:24" x14ac:dyDescent="0.25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2104</v>
      </c>
      <c r="G351" t="s">
        <v>250</v>
      </c>
      <c r="H351" t="b">
        <v>1</v>
      </c>
      <c r="I351" t="s">
        <v>1799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3">
        <v>19910000000000</v>
      </c>
      <c r="R351">
        <v>77</v>
      </c>
      <c r="S351">
        <v>9.4</v>
      </c>
      <c r="T351">
        <v>59.2</v>
      </c>
      <c r="U351">
        <v>1397715000</v>
      </c>
      <c r="V351" s="5">
        <f t="shared" si="15"/>
        <v>22859</v>
      </c>
      <c r="W351" s="5">
        <f t="shared" ca="1" si="16"/>
        <v>46116</v>
      </c>
      <c r="X351">
        <f t="shared" ca="1" si="17"/>
        <v>63</v>
      </c>
    </row>
    <row r="352" spans="1:24" x14ac:dyDescent="0.25">
      <c r="A352">
        <v>365</v>
      </c>
      <c r="B352" t="s">
        <v>250</v>
      </c>
      <c r="C352" t="s">
        <v>2105</v>
      </c>
      <c r="D352" t="s">
        <v>170</v>
      </c>
      <c r="E352" t="s">
        <v>2406</v>
      </c>
      <c r="F352" t="s">
        <v>1890</v>
      </c>
      <c r="G352" t="s">
        <v>250</v>
      </c>
      <c r="H352" t="b">
        <v>0</v>
      </c>
      <c r="I352" t="s">
        <v>2223</v>
      </c>
      <c r="J352" t="s">
        <v>2106</v>
      </c>
      <c r="K352" t="s">
        <v>2107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3">
        <v>703082435360</v>
      </c>
      <c r="R352">
        <v>83.6</v>
      </c>
      <c r="S352">
        <v>10.1</v>
      </c>
      <c r="T352">
        <v>28.8</v>
      </c>
      <c r="U352">
        <v>8574832</v>
      </c>
      <c r="V352" s="5">
        <f t="shared" si="15"/>
        <v>25204</v>
      </c>
      <c r="W352" s="5">
        <f t="shared" ca="1" si="16"/>
        <v>46116</v>
      </c>
      <c r="X352">
        <f t="shared" ca="1" si="17"/>
        <v>57</v>
      </c>
    </row>
    <row r="353" spans="1:24" x14ac:dyDescent="0.25">
      <c r="A353">
        <v>365</v>
      </c>
      <c r="B353" t="s">
        <v>1810</v>
      </c>
      <c r="C353" t="s">
        <v>1391</v>
      </c>
      <c r="D353" t="s">
        <v>2214</v>
      </c>
      <c r="E353" t="s">
        <v>24</v>
      </c>
      <c r="F353" t="s">
        <v>1893</v>
      </c>
      <c r="G353" t="s">
        <v>1810</v>
      </c>
      <c r="H353" t="b">
        <v>1</v>
      </c>
      <c r="I353" t="s">
        <v>1799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3">
        <v>2715518274227</v>
      </c>
      <c r="R353">
        <v>82.5</v>
      </c>
      <c r="S353">
        <v>24.2</v>
      </c>
      <c r="T353">
        <v>60.7</v>
      </c>
      <c r="U353">
        <v>67059887</v>
      </c>
      <c r="V353" s="5">
        <f t="shared" si="15"/>
        <v>24709</v>
      </c>
      <c r="W353" s="5">
        <f t="shared" ca="1" si="16"/>
        <v>46116</v>
      </c>
      <c r="X353">
        <f t="shared" ca="1" si="17"/>
        <v>58</v>
      </c>
    </row>
    <row r="354" spans="1:24" x14ac:dyDescent="0.25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1799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3">
        <v>21427700000000</v>
      </c>
      <c r="R354">
        <v>78.5</v>
      </c>
      <c r="S354">
        <v>9.6</v>
      </c>
      <c r="T354">
        <v>36.6</v>
      </c>
      <c r="U354">
        <v>328239523</v>
      </c>
      <c r="V354" s="5">
        <f t="shared" si="15"/>
        <v>18714</v>
      </c>
      <c r="W354" s="5">
        <f t="shared" ca="1" si="16"/>
        <v>46116</v>
      </c>
      <c r="X354">
        <f t="shared" ca="1" si="17"/>
        <v>75</v>
      </c>
    </row>
    <row r="355" spans="1:24" x14ac:dyDescent="0.25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1799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3">
        <v>21427700000000</v>
      </c>
      <c r="R355">
        <v>78.5</v>
      </c>
      <c r="S355">
        <v>9.6</v>
      </c>
      <c r="T355">
        <v>36.6</v>
      </c>
      <c r="U355">
        <v>328239523</v>
      </c>
      <c r="V355" s="5">
        <f t="shared" si="15"/>
        <v>14239</v>
      </c>
      <c r="W355" s="5">
        <f t="shared" ca="1" si="16"/>
        <v>46116</v>
      </c>
      <c r="X355">
        <f t="shared" ca="1" si="17"/>
        <v>87</v>
      </c>
    </row>
    <row r="356" spans="1:24" x14ac:dyDescent="0.25">
      <c r="A356">
        <v>365</v>
      </c>
      <c r="B356" t="s">
        <v>462</v>
      </c>
      <c r="C356" t="s">
        <v>2407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1799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3">
        <v>21427700000000</v>
      </c>
      <c r="R356">
        <v>78.5</v>
      </c>
      <c r="S356">
        <v>9.6</v>
      </c>
      <c r="T356">
        <v>36.6</v>
      </c>
      <c r="U356">
        <v>328239523</v>
      </c>
      <c r="V356" s="5">
        <f t="shared" si="15"/>
        <v>14388</v>
      </c>
      <c r="W356" s="5">
        <f t="shared" ca="1" si="16"/>
        <v>46116</v>
      </c>
      <c r="X356">
        <f t="shared" ca="1" si="17"/>
        <v>86</v>
      </c>
    </row>
    <row r="357" spans="1:24" x14ac:dyDescent="0.25">
      <c r="A357">
        <v>365</v>
      </c>
      <c r="B357" t="s">
        <v>2491</v>
      </c>
      <c r="C357" t="s">
        <v>1404</v>
      </c>
      <c r="D357" t="s">
        <v>32</v>
      </c>
      <c r="E357" t="s">
        <v>1405</v>
      </c>
      <c r="F357" t="s">
        <v>2240</v>
      </c>
      <c r="G357" t="s">
        <v>2491</v>
      </c>
      <c r="H357" t="b">
        <v>1</v>
      </c>
      <c r="I357" t="s">
        <v>1799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3">
        <v>21427700000000</v>
      </c>
      <c r="R357">
        <v>78.5</v>
      </c>
      <c r="S357">
        <v>9.6</v>
      </c>
      <c r="T357">
        <v>36.6</v>
      </c>
      <c r="U357">
        <v>328239523</v>
      </c>
      <c r="V357" s="5">
        <f t="shared" si="15"/>
        <v>11182</v>
      </c>
      <c r="W357" s="5">
        <f t="shared" ca="1" si="16"/>
        <v>46116</v>
      </c>
      <c r="X357">
        <f t="shared" ca="1" si="17"/>
        <v>95</v>
      </c>
    </row>
    <row r="358" spans="1:24" x14ac:dyDescent="0.25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2108</v>
      </c>
      <c r="G358" t="s">
        <v>38</v>
      </c>
      <c r="H358" t="b">
        <v>1</v>
      </c>
      <c r="I358" t="s">
        <v>1799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3">
        <v>21427700000000</v>
      </c>
      <c r="R358">
        <v>78.5</v>
      </c>
      <c r="S358">
        <v>9.6</v>
      </c>
      <c r="T358">
        <v>36.6</v>
      </c>
      <c r="U358">
        <v>328239523</v>
      </c>
      <c r="V358" s="5">
        <f t="shared" si="15"/>
        <v>18913</v>
      </c>
      <c r="W358" s="5">
        <f t="shared" ca="1" si="16"/>
        <v>46116</v>
      </c>
      <c r="X358">
        <f t="shared" ca="1" si="17"/>
        <v>74</v>
      </c>
    </row>
    <row r="359" spans="1:24" x14ac:dyDescent="0.25">
      <c r="A359">
        <v>365</v>
      </c>
      <c r="B359" t="s">
        <v>250</v>
      </c>
      <c r="C359" t="s">
        <v>1410</v>
      </c>
      <c r="D359" t="s">
        <v>2061</v>
      </c>
      <c r="E359" t="s">
        <v>1370</v>
      </c>
      <c r="F359" t="s">
        <v>1371</v>
      </c>
      <c r="G359" t="s">
        <v>250</v>
      </c>
      <c r="H359" t="b">
        <v>0</v>
      </c>
      <c r="I359" t="s">
        <v>2223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3">
        <v>348078018464</v>
      </c>
      <c r="R359">
        <v>81</v>
      </c>
      <c r="S359">
        <v>32.4</v>
      </c>
      <c r="T359">
        <v>23.8</v>
      </c>
      <c r="U359">
        <v>5818553</v>
      </c>
      <c r="V359" s="5">
        <f t="shared" si="15"/>
        <v>30454</v>
      </c>
      <c r="W359" s="5">
        <f t="shared" ca="1" si="16"/>
        <v>46116</v>
      </c>
      <c r="X359">
        <f t="shared" ca="1" si="17"/>
        <v>42</v>
      </c>
    </row>
    <row r="360" spans="1:24" x14ac:dyDescent="0.25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2108</v>
      </c>
      <c r="G360" t="s">
        <v>38</v>
      </c>
      <c r="H360" t="b">
        <v>1</v>
      </c>
      <c r="I360" t="s">
        <v>1799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3">
        <v>21427700000000</v>
      </c>
      <c r="R360">
        <v>78.5</v>
      </c>
      <c r="S360">
        <v>9.6</v>
      </c>
      <c r="T360">
        <v>36.6</v>
      </c>
      <c r="U360">
        <v>328239523</v>
      </c>
      <c r="V360" s="5">
        <f t="shared" si="15"/>
        <v>15200</v>
      </c>
      <c r="W360" s="5">
        <f t="shared" ca="1" si="16"/>
        <v>46116</v>
      </c>
      <c r="X360">
        <f t="shared" ca="1" si="17"/>
        <v>84</v>
      </c>
    </row>
    <row r="361" spans="1:24" x14ac:dyDescent="0.25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1799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3">
        <v>19910000000000</v>
      </c>
      <c r="R361">
        <v>77</v>
      </c>
      <c r="S361">
        <v>9.4</v>
      </c>
      <c r="T361">
        <v>59.2</v>
      </c>
      <c r="U361">
        <v>1397715000</v>
      </c>
      <c r="V361" s="5">
        <f t="shared" si="15"/>
        <v>21186</v>
      </c>
      <c r="W361" s="5">
        <f t="shared" ca="1" si="16"/>
        <v>46116</v>
      </c>
      <c r="X361">
        <f t="shared" ca="1" si="17"/>
        <v>68</v>
      </c>
    </row>
    <row r="362" spans="1:24" x14ac:dyDescent="0.25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1890</v>
      </c>
      <c r="G362" t="s">
        <v>250</v>
      </c>
      <c r="H362" t="b">
        <v>0</v>
      </c>
      <c r="I362" t="s">
        <v>2223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3">
        <v>703082435360</v>
      </c>
      <c r="R362">
        <v>83.6</v>
      </c>
      <c r="S362">
        <v>10.1</v>
      </c>
      <c r="T362">
        <v>28.8</v>
      </c>
      <c r="U362">
        <v>8574832</v>
      </c>
      <c r="V362" s="5">
        <f t="shared" si="15"/>
        <v>27760</v>
      </c>
      <c r="W362" s="5">
        <f t="shared" ca="1" si="16"/>
        <v>46116</v>
      </c>
      <c r="X362">
        <f t="shared" ca="1" si="17"/>
        <v>50</v>
      </c>
    </row>
    <row r="363" spans="1:24" x14ac:dyDescent="0.25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2408</v>
      </c>
      <c r="G363" t="s">
        <v>103</v>
      </c>
      <c r="H363" t="b">
        <v>0</v>
      </c>
      <c r="I363" t="s">
        <v>1799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3">
        <v>21427700000000</v>
      </c>
      <c r="R363">
        <v>78.5</v>
      </c>
      <c r="S363">
        <v>9.6</v>
      </c>
      <c r="T363">
        <v>36.6</v>
      </c>
      <c r="U363">
        <v>328239523</v>
      </c>
      <c r="V363" s="5">
        <f t="shared" si="15"/>
        <v>19836</v>
      </c>
      <c r="W363" s="5">
        <f t="shared" ca="1" si="16"/>
        <v>46116</v>
      </c>
      <c r="X363">
        <f t="shared" ca="1" si="17"/>
        <v>71</v>
      </c>
    </row>
    <row r="364" spans="1:24" x14ac:dyDescent="0.25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2408</v>
      </c>
      <c r="G364" t="s">
        <v>103</v>
      </c>
      <c r="H364" t="b">
        <v>0</v>
      </c>
      <c r="I364" t="s">
        <v>1799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3">
        <v>21427700000000</v>
      </c>
      <c r="R364">
        <v>78.5</v>
      </c>
      <c r="S364">
        <v>9.6</v>
      </c>
      <c r="T364">
        <v>36.6</v>
      </c>
      <c r="U364">
        <v>328239523</v>
      </c>
      <c r="V364" s="5">
        <f t="shared" si="15"/>
        <v>19419</v>
      </c>
      <c r="W364" s="5">
        <f t="shared" ca="1" si="16"/>
        <v>46116</v>
      </c>
      <c r="X364">
        <f t="shared" ca="1" si="17"/>
        <v>73</v>
      </c>
    </row>
    <row r="365" spans="1:24" x14ac:dyDescent="0.25">
      <c r="A365">
        <v>383</v>
      </c>
      <c r="B365" t="s">
        <v>103</v>
      </c>
      <c r="C365" t="s">
        <v>1429</v>
      </c>
      <c r="D365" t="s">
        <v>32</v>
      </c>
      <c r="E365" t="s">
        <v>2109</v>
      </c>
      <c r="F365" t="s">
        <v>2408</v>
      </c>
      <c r="G365" t="s">
        <v>103</v>
      </c>
      <c r="H365" t="b">
        <v>0</v>
      </c>
      <c r="I365" t="s">
        <v>2223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3">
        <v>21427700000000</v>
      </c>
      <c r="R365">
        <v>78.5</v>
      </c>
      <c r="S365">
        <v>9.6</v>
      </c>
      <c r="T365">
        <v>36.6</v>
      </c>
      <c r="U365">
        <v>328239523</v>
      </c>
      <c r="V365" s="5">
        <f t="shared" si="15"/>
        <v>20440</v>
      </c>
      <c r="W365" s="5">
        <f t="shared" ca="1" si="16"/>
        <v>46116</v>
      </c>
      <c r="X365">
        <f t="shared" ca="1" si="17"/>
        <v>70</v>
      </c>
    </row>
    <row r="366" spans="1:24" x14ac:dyDescent="0.25">
      <c r="A366">
        <v>383</v>
      </c>
      <c r="B366" t="s">
        <v>2491</v>
      </c>
      <c r="C366" t="s">
        <v>1433</v>
      </c>
      <c r="D366" t="s">
        <v>32</v>
      </c>
      <c r="E366" t="s">
        <v>61</v>
      </c>
      <c r="F366" t="s">
        <v>2240</v>
      </c>
      <c r="G366" t="s">
        <v>2491</v>
      </c>
      <c r="H366" t="b">
        <v>1</v>
      </c>
      <c r="I366" t="s">
        <v>1799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3">
        <v>21427700000000</v>
      </c>
      <c r="R366">
        <v>78.5</v>
      </c>
      <c r="S366">
        <v>9.6</v>
      </c>
      <c r="T366">
        <v>36.6</v>
      </c>
      <c r="U366">
        <v>328239523</v>
      </c>
      <c r="V366" s="5">
        <f t="shared" si="15"/>
        <v>16493</v>
      </c>
      <c r="W366" s="5">
        <f t="shared" ca="1" si="16"/>
        <v>46116</v>
      </c>
      <c r="X366">
        <f t="shared" ca="1" si="17"/>
        <v>81</v>
      </c>
    </row>
    <row r="367" spans="1:24" x14ac:dyDescent="0.25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1901</v>
      </c>
      <c r="G367" t="s">
        <v>38</v>
      </c>
      <c r="H367" t="b">
        <v>1</v>
      </c>
      <c r="I367" t="s">
        <v>1799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3">
        <v>21427700000000</v>
      </c>
      <c r="R367">
        <v>78.5</v>
      </c>
      <c r="S367">
        <v>9.6</v>
      </c>
      <c r="T367">
        <v>36.6</v>
      </c>
      <c r="U367">
        <v>328239523</v>
      </c>
      <c r="V367" s="5">
        <f t="shared" si="15"/>
        <v>21831</v>
      </c>
      <c r="W367" s="5">
        <f t="shared" ca="1" si="16"/>
        <v>46116</v>
      </c>
      <c r="X367">
        <f t="shared" ca="1" si="17"/>
        <v>66</v>
      </c>
    </row>
    <row r="368" spans="1:24" x14ac:dyDescent="0.25">
      <c r="A368">
        <v>383</v>
      </c>
      <c r="B368" t="s">
        <v>2491</v>
      </c>
      <c r="C368" t="s">
        <v>1439</v>
      </c>
      <c r="D368" t="s">
        <v>1837</v>
      </c>
      <c r="E368" t="s">
        <v>2110</v>
      </c>
      <c r="F368" t="s">
        <v>1864</v>
      </c>
      <c r="G368" t="s">
        <v>2491</v>
      </c>
      <c r="H368" t="b">
        <v>0</v>
      </c>
      <c r="I368" t="s">
        <v>2223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3">
        <v>3845630030824</v>
      </c>
      <c r="R368">
        <v>80.900000000000006</v>
      </c>
      <c r="S368">
        <v>11.5</v>
      </c>
      <c r="T368">
        <v>48.8</v>
      </c>
      <c r="U368">
        <v>83132799</v>
      </c>
      <c r="V368" s="5">
        <f t="shared" si="15"/>
        <v>27766</v>
      </c>
      <c r="W368" s="5">
        <f t="shared" ca="1" si="16"/>
        <v>46116</v>
      </c>
      <c r="X368">
        <f t="shared" ca="1" si="17"/>
        <v>50</v>
      </c>
    </row>
    <row r="369" spans="1:24" x14ac:dyDescent="0.25">
      <c r="A369">
        <v>390</v>
      </c>
      <c r="B369" t="s">
        <v>2491</v>
      </c>
      <c r="C369" t="s">
        <v>2111</v>
      </c>
      <c r="D369" t="s">
        <v>32</v>
      </c>
      <c r="E369" t="s">
        <v>2229</v>
      </c>
      <c r="F369" t="s">
        <v>802</v>
      </c>
      <c r="G369" t="s">
        <v>2491</v>
      </c>
      <c r="H369" t="b">
        <v>1</v>
      </c>
      <c r="I369" t="s">
        <v>1799</v>
      </c>
      <c r="J369" t="s">
        <v>2112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3">
        <v>21427700000000</v>
      </c>
      <c r="R369">
        <v>78.5</v>
      </c>
      <c r="S369">
        <v>9.6</v>
      </c>
      <c r="T369">
        <v>36.6</v>
      </c>
      <c r="U369">
        <v>328239523</v>
      </c>
      <c r="V369" s="5">
        <f t="shared" si="15"/>
        <v>15672</v>
      </c>
      <c r="W369" s="5">
        <f t="shared" ca="1" si="16"/>
        <v>46116</v>
      </c>
      <c r="X369">
        <f t="shared" ca="1" si="17"/>
        <v>83</v>
      </c>
    </row>
    <row r="370" spans="1:24" x14ac:dyDescent="0.25">
      <c r="A370">
        <v>390</v>
      </c>
      <c r="B370" t="s">
        <v>38</v>
      </c>
      <c r="C370" t="s">
        <v>2409</v>
      </c>
      <c r="D370" t="s">
        <v>32</v>
      </c>
      <c r="E370" t="s">
        <v>1802</v>
      </c>
      <c r="F370" t="s">
        <v>2220</v>
      </c>
      <c r="G370" t="s">
        <v>38</v>
      </c>
      <c r="H370" t="b">
        <v>0</v>
      </c>
      <c r="I370" t="s">
        <v>2223</v>
      </c>
      <c r="J370" t="s">
        <v>2410</v>
      </c>
      <c r="K370" t="s">
        <v>2113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3">
        <v>21427700000000</v>
      </c>
      <c r="R370">
        <v>78.5</v>
      </c>
      <c r="S370">
        <v>9.6</v>
      </c>
      <c r="T370">
        <v>36.6</v>
      </c>
      <c r="U370">
        <v>328239523</v>
      </c>
      <c r="V370" s="5">
        <f t="shared" si="15"/>
        <v>23604</v>
      </c>
      <c r="W370" s="5">
        <f t="shared" ca="1" si="16"/>
        <v>46116</v>
      </c>
      <c r="X370">
        <f t="shared" ca="1" si="17"/>
        <v>61</v>
      </c>
    </row>
    <row r="371" spans="1:24" x14ac:dyDescent="0.25">
      <c r="A371">
        <v>390</v>
      </c>
      <c r="B371" t="s">
        <v>462</v>
      </c>
      <c r="C371" t="s">
        <v>2411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2223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3">
        <v>21427700000000</v>
      </c>
      <c r="R371">
        <v>78.5</v>
      </c>
      <c r="S371">
        <v>9.6</v>
      </c>
      <c r="T371">
        <v>36.6</v>
      </c>
      <c r="U371">
        <v>328239523</v>
      </c>
      <c r="V371" s="5">
        <f t="shared" si="15"/>
        <v>11016</v>
      </c>
      <c r="W371" s="5">
        <f t="shared" ca="1" si="16"/>
        <v>46116</v>
      </c>
      <c r="X371">
        <f t="shared" ca="1" si="17"/>
        <v>96</v>
      </c>
    </row>
    <row r="372" spans="1:24" x14ac:dyDescent="0.25">
      <c r="A372">
        <v>390</v>
      </c>
      <c r="B372" t="s">
        <v>462</v>
      </c>
      <c r="C372" t="s">
        <v>1452</v>
      </c>
      <c r="D372" t="s">
        <v>1853</v>
      </c>
      <c r="E372" t="s">
        <v>227</v>
      </c>
      <c r="F372" t="s">
        <v>2114</v>
      </c>
      <c r="G372" t="s">
        <v>462</v>
      </c>
      <c r="H372" t="b">
        <v>1</v>
      </c>
      <c r="I372" t="s">
        <v>1799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3">
        <v>2827113184696</v>
      </c>
      <c r="R372">
        <v>81.3</v>
      </c>
      <c r="S372">
        <v>25.5</v>
      </c>
      <c r="T372">
        <v>30.6</v>
      </c>
      <c r="U372">
        <v>66834405</v>
      </c>
      <c r="V372" s="5">
        <f t="shared" si="15"/>
        <v>14124</v>
      </c>
      <c r="W372" s="5">
        <f t="shared" ca="1" si="16"/>
        <v>46116</v>
      </c>
      <c r="X372">
        <f t="shared" ca="1" si="17"/>
        <v>87</v>
      </c>
    </row>
    <row r="373" spans="1:24" x14ac:dyDescent="0.25">
      <c r="A373">
        <v>390</v>
      </c>
      <c r="B373" t="s">
        <v>462</v>
      </c>
      <c r="C373" t="s">
        <v>1455</v>
      </c>
      <c r="D373" t="s">
        <v>170</v>
      </c>
      <c r="E373" t="s">
        <v>2115</v>
      </c>
      <c r="F373" t="s">
        <v>465</v>
      </c>
      <c r="G373" t="s">
        <v>462</v>
      </c>
      <c r="H373" t="b">
        <v>1</v>
      </c>
      <c r="I373" t="s">
        <v>1799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3">
        <v>703082435360</v>
      </c>
      <c r="R373">
        <v>83.6</v>
      </c>
      <c r="S373">
        <v>10.1</v>
      </c>
      <c r="T373">
        <v>28.8</v>
      </c>
      <c r="U373">
        <v>8574832</v>
      </c>
      <c r="V373" s="5">
        <f t="shared" si="15"/>
        <v>26045</v>
      </c>
      <c r="W373" s="5">
        <f t="shared" ca="1" si="16"/>
        <v>46116</v>
      </c>
      <c r="X373">
        <f t="shared" ca="1" si="17"/>
        <v>54</v>
      </c>
    </row>
    <row r="374" spans="1:24" x14ac:dyDescent="0.25">
      <c r="A374">
        <v>397</v>
      </c>
      <c r="B374" t="s">
        <v>2491</v>
      </c>
      <c r="C374" t="s">
        <v>1459</v>
      </c>
      <c r="D374" t="s">
        <v>497</v>
      </c>
      <c r="E374" t="s">
        <v>1460</v>
      </c>
      <c r="F374" t="s">
        <v>1864</v>
      </c>
      <c r="G374" t="s">
        <v>2491</v>
      </c>
      <c r="H374" t="b">
        <v>1</v>
      </c>
      <c r="I374" t="s">
        <v>1799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3">
        <v>530832908738</v>
      </c>
      <c r="R374">
        <v>82.5</v>
      </c>
      <c r="S374">
        <v>27.9</v>
      </c>
      <c r="T374">
        <v>49.1</v>
      </c>
      <c r="U374">
        <v>10285453</v>
      </c>
      <c r="V374" s="5">
        <f t="shared" si="15"/>
        <v>18859</v>
      </c>
      <c r="W374" s="5">
        <f t="shared" ca="1" si="16"/>
        <v>46116</v>
      </c>
      <c r="X374">
        <f t="shared" ca="1" si="17"/>
        <v>74</v>
      </c>
    </row>
    <row r="375" spans="1:24" x14ac:dyDescent="0.25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2412</v>
      </c>
      <c r="G375" t="s">
        <v>590</v>
      </c>
      <c r="H375" t="b">
        <v>1</v>
      </c>
      <c r="I375" t="s">
        <v>1799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3">
        <v>21427700000000</v>
      </c>
      <c r="R375">
        <v>78.5</v>
      </c>
      <c r="S375">
        <v>9.6</v>
      </c>
      <c r="T375">
        <v>36.6</v>
      </c>
      <c r="U375">
        <v>328239523</v>
      </c>
      <c r="V375" s="5">
        <f t="shared" si="15"/>
        <v>22016</v>
      </c>
      <c r="W375" s="5">
        <f t="shared" ca="1" si="16"/>
        <v>46116</v>
      </c>
      <c r="X375">
        <f t="shared" ca="1" si="17"/>
        <v>65</v>
      </c>
    </row>
    <row r="376" spans="1:24" x14ac:dyDescent="0.25">
      <c r="A376">
        <v>397</v>
      </c>
      <c r="B376" t="s">
        <v>2491</v>
      </c>
      <c r="C376" t="s">
        <v>2116</v>
      </c>
      <c r="D376" t="s">
        <v>32</v>
      </c>
      <c r="E376" t="s">
        <v>61</v>
      </c>
      <c r="F376" t="s">
        <v>2240</v>
      </c>
      <c r="G376" t="s">
        <v>2491</v>
      </c>
      <c r="H376" t="b">
        <v>1</v>
      </c>
      <c r="I376" t="s">
        <v>1799</v>
      </c>
      <c r="J376" t="s">
        <v>2117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3">
        <v>21427700000000</v>
      </c>
      <c r="R376">
        <v>78.5</v>
      </c>
      <c r="S376">
        <v>9.6</v>
      </c>
      <c r="T376">
        <v>36.6</v>
      </c>
      <c r="U376">
        <v>328239523</v>
      </c>
      <c r="V376" s="5">
        <f t="shared" si="15"/>
        <v>19524</v>
      </c>
      <c r="W376" s="5">
        <f t="shared" ca="1" si="16"/>
        <v>46116</v>
      </c>
      <c r="X376">
        <f t="shared" ca="1" si="17"/>
        <v>72</v>
      </c>
    </row>
    <row r="377" spans="1:24" x14ac:dyDescent="0.25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2118</v>
      </c>
      <c r="G377" t="s">
        <v>351</v>
      </c>
      <c r="H377" t="b">
        <v>1</v>
      </c>
      <c r="I377" t="s">
        <v>2223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3">
        <v>19910000000000</v>
      </c>
      <c r="R377">
        <v>77</v>
      </c>
      <c r="S377">
        <v>9.4</v>
      </c>
      <c r="T377">
        <v>59.2</v>
      </c>
      <c r="U377">
        <v>1397715000</v>
      </c>
      <c r="V377" s="5">
        <f t="shared" si="15"/>
        <v>23316</v>
      </c>
      <c r="W377" s="5">
        <f t="shared" ca="1" si="16"/>
        <v>46116</v>
      </c>
      <c r="X377">
        <f t="shared" ca="1" si="17"/>
        <v>62</v>
      </c>
    </row>
    <row r="378" spans="1:24" x14ac:dyDescent="0.25">
      <c r="A378">
        <v>397</v>
      </c>
      <c r="B378" t="s">
        <v>292</v>
      </c>
      <c r="C378" t="s">
        <v>2119</v>
      </c>
      <c r="D378" t="s">
        <v>2214</v>
      </c>
      <c r="E378" t="s">
        <v>24</v>
      </c>
      <c r="F378" t="s">
        <v>1940</v>
      </c>
      <c r="G378" t="s">
        <v>292</v>
      </c>
      <c r="H378" t="b">
        <v>1</v>
      </c>
      <c r="I378" t="s">
        <v>1799</v>
      </c>
      <c r="J378" t="s">
        <v>2120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3">
        <v>2715518274227</v>
      </c>
      <c r="R378">
        <v>82.5</v>
      </c>
      <c r="S378">
        <v>24.2</v>
      </c>
      <c r="T378">
        <v>60.7</v>
      </c>
      <c r="U378">
        <v>67059887</v>
      </c>
      <c r="V378" s="5">
        <f t="shared" si="15"/>
        <v>22934</v>
      </c>
      <c r="W378" s="5">
        <f t="shared" ca="1" si="16"/>
        <v>46116</v>
      </c>
      <c r="X378">
        <f t="shared" ca="1" si="17"/>
        <v>63</v>
      </c>
    </row>
    <row r="379" spans="1:24" x14ac:dyDescent="0.25">
      <c r="A379">
        <v>397</v>
      </c>
      <c r="B379" t="s">
        <v>2491</v>
      </c>
      <c r="C379" t="s">
        <v>2121</v>
      </c>
      <c r="D379" t="s">
        <v>2122</v>
      </c>
      <c r="E379" t="s">
        <v>1475</v>
      </c>
      <c r="F379" t="s">
        <v>478</v>
      </c>
      <c r="G379" t="s">
        <v>2491</v>
      </c>
      <c r="H379" t="b">
        <v>1</v>
      </c>
      <c r="I379" t="s">
        <v>1799</v>
      </c>
      <c r="J379" t="s">
        <v>2123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3">
        <v>323802808108</v>
      </c>
      <c r="R379">
        <v>77.099999999999994</v>
      </c>
      <c r="S379">
        <v>14.4</v>
      </c>
      <c r="T379">
        <v>71.2</v>
      </c>
      <c r="U379">
        <v>50339443</v>
      </c>
      <c r="V379" s="5">
        <f t="shared" si="15"/>
        <v>12081</v>
      </c>
      <c r="W379" s="5">
        <f t="shared" ca="1" si="16"/>
        <v>46116</v>
      </c>
      <c r="X379">
        <f t="shared" ca="1" si="17"/>
        <v>93</v>
      </c>
    </row>
    <row r="380" spans="1:24" x14ac:dyDescent="0.25">
      <c r="A380">
        <v>397</v>
      </c>
      <c r="B380" t="s">
        <v>168</v>
      </c>
      <c r="C380" t="s">
        <v>1479</v>
      </c>
      <c r="D380" t="s">
        <v>32</v>
      </c>
      <c r="E380" t="s">
        <v>2124</v>
      </c>
      <c r="F380" t="s">
        <v>2125</v>
      </c>
      <c r="G380" t="s">
        <v>168</v>
      </c>
      <c r="H380" t="b">
        <v>1</v>
      </c>
      <c r="I380" t="s">
        <v>1799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3">
        <v>21427700000000</v>
      </c>
      <c r="R380">
        <v>78.5</v>
      </c>
      <c r="S380">
        <v>9.6</v>
      </c>
      <c r="T380">
        <v>36.6</v>
      </c>
      <c r="U380">
        <v>328239523</v>
      </c>
      <c r="V380" s="5">
        <f t="shared" si="15"/>
        <v>12627</v>
      </c>
      <c r="W380" s="5">
        <f t="shared" ca="1" si="16"/>
        <v>46116</v>
      </c>
      <c r="X380">
        <f t="shared" ca="1" si="17"/>
        <v>91</v>
      </c>
    </row>
    <row r="381" spans="1:24" x14ac:dyDescent="0.25">
      <c r="A381">
        <v>405</v>
      </c>
      <c r="B381" t="s">
        <v>580</v>
      </c>
      <c r="C381" t="s">
        <v>2413</v>
      </c>
      <c r="D381" t="s">
        <v>1853</v>
      </c>
      <c r="E381" t="s">
        <v>861</v>
      </c>
      <c r="F381" t="s">
        <v>2071</v>
      </c>
      <c r="G381" t="s">
        <v>580</v>
      </c>
      <c r="H381" t="b">
        <v>0</v>
      </c>
      <c r="I381" t="s">
        <v>1799</v>
      </c>
      <c r="J381" t="s">
        <v>2414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3">
        <v>2827113184696</v>
      </c>
      <c r="R381">
        <v>81.3</v>
      </c>
      <c r="S381">
        <v>25.5</v>
      </c>
      <c r="T381">
        <v>30.6</v>
      </c>
      <c r="U381">
        <v>66834405</v>
      </c>
      <c r="V381" s="5">
        <f t="shared" si="15"/>
        <v>16733</v>
      </c>
      <c r="W381" s="5">
        <f t="shared" ca="1" si="16"/>
        <v>46116</v>
      </c>
      <c r="X381">
        <f t="shared" ca="1" si="17"/>
        <v>80</v>
      </c>
    </row>
    <row r="382" spans="1:24" x14ac:dyDescent="0.25">
      <c r="A382">
        <v>405</v>
      </c>
      <c r="B382" t="s">
        <v>292</v>
      </c>
      <c r="C382" t="s">
        <v>2415</v>
      </c>
      <c r="D382" t="s">
        <v>105</v>
      </c>
      <c r="E382" t="s">
        <v>903</v>
      </c>
      <c r="F382" t="s">
        <v>2126</v>
      </c>
      <c r="G382" t="s">
        <v>292</v>
      </c>
      <c r="H382" t="b">
        <v>1</v>
      </c>
      <c r="I382" t="s">
        <v>1799</v>
      </c>
      <c r="J382" t="s">
        <v>1488</v>
      </c>
      <c r="K382" t="s">
        <v>2416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3">
        <v>19910000000000</v>
      </c>
      <c r="R382">
        <v>77</v>
      </c>
      <c r="S382">
        <v>9.4</v>
      </c>
      <c r="T382">
        <v>59.2</v>
      </c>
      <c r="U382">
        <v>1397715000</v>
      </c>
      <c r="V382" s="5">
        <f t="shared" si="15"/>
        <v>23743</v>
      </c>
      <c r="W382" s="5">
        <f t="shared" ca="1" si="16"/>
        <v>46116</v>
      </c>
      <c r="X382">
        <f t="shared" ca="1" si="17"/>
        <v>61</v>
      </c>
    </row>
    <row r="383" spans="1:24" x14ac:dyDescent="0.25">
      <c r="A383">
        <v>405</v>
      </c>
      <c r="B383" t="s">
        <v>2491</v>
      </c>
      <c r="C383" t="s">
        <v>1490</v>
      </c>
      <c r="D383" t="s">
        <v>1853</v>
      </c>
      <c r="E383" t="s">
        <v>227</v>
      </c>
      <c r="F383" t="s">
        <v>802</v>
      </c>
      <c r="G383" t="s">
        <v>2491</v>
      </c>
      <c r="H383" t="b">
        <v>1</v>
      </c>
      <c r="I383" t="s">
        <v>1799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3">
        <v>2827113184696</v>
      </c>
      <c r="R383">
        <v>81.3</v>
      </c>
      <c r="S383">
        <v>25.5</v>
      </c>
      <c r="T383">
        <v>30.6</v>
      </c>
      <c r="U383">
        <v>66834405</v>
      </c>
      <c r="V383" s="5">
        <f t="shared" si="15"/>
        <v>20607</v>
      </c>
      <c r="W383" s="5">
        <f t="shared" ca="1" si="16"/>
        <v>46116</v>
      </c>
      <c r="X383">
        <f t="shared" ca="1" si="17"/>
        <v>69</v>
      </c>
    </row>
    <row r="384" spans="1:24" x14ac:dyDescent="0.25">
      <c r="A384">
        <v>405</v>
      </c>
      <c r="B384" t="s">
        <v>351</v>
      </c>
      <c r="C384" t="s">
        <v>2417</v>
      </c>
      <c r="D384" t="s">
        <v>2214</v>
      </c>
      <c r="E384" t="s">
        <v>1493</v>
      </c>
      <c r="F384" t="s">
        <v>1929</v>
      </c>
      <c r="G384" t="s">
        <v>351</v>
      </c>
      <c r="H384" t="b">
        <v>0</v>
      </c>
      <c r="I384" t="s">
        <v>1799</v>
      </c>
      <c r="J384" t="s">
        <v>2127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3">
        <v>2715518274227</v>
      </c>
      <c r="R384">
        <v>82.5</v>
      </c>
      <c r="S384">
        <v>24.2</v>
      </c>
      <c r="T384">
        <v>60.7</v>
      </c>
      <c r="U384">
        <v>67059887</v>
      </c>
      <c r="V384" s="5">
        <f t="shared" si="15"/>
        <v>13881</v>
      </c>
      <c r="W384" s="5">
        <f t="shared" ca="1" si="16"/>
        <v>46116</v>
      </c>
      <c r="X384">
        <f t="shared" ca="1" si="17"/>
        <v>88</v>
      </c>
    </row>
    <row r="385" spans="1:24" x14ac:dyDescent="0.25">
      <c r="A385">
        <v>405</v>
      </c>
      <c r="B385" t="s">
        <v>292</v>
      </c>
      <c r="C385" t="s">
        <v>2418</v>
      </c>
      <c r="D385" t="s">
        <v>105</v>
      </c>
      <c r="E385" t="s">
        <v>2419</v>
      </c>
      <c r="F385" t="s">
        <v>1497</v>
      </c>
      <c r="G385" t="s">
        <v>292</v>
      </c>
      <c r="H385" t="b">
        <v>1</v>
      </c>
      <c r="I385" t="s">
        <v>1799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3">
        <v>19910000000000</v>
      </c>
      <c r="R385">
        <v>77</v>
      </c>
      <c r="S385">
        <v>9.4</v>
      </c>
      <c r="T385">
        <v>59.2</v>
      </c>
      <c r="U385">
        <v>1397715000</v>
      </c>
      <c r="V385" s="5">
        <f t="shared" si="15"/>
        <v>23447</v>
      </c>
      <c r="W385" s="5">
        <f t="shared" ca="1" si="16"/>
        <v>46116</v>
      </c>
      <c r="X385">
        <f t="shared" ca="1" si="17"/>
        <v>62</v>
      </c>
    </row>
    <row r="386" spans="1:24" x14ac:dyDescent="0.25">
      <c r="A386">
        <v>405</v>
      </c>
      <c r="B386" t="s">
        <v>250</v>
      </c>
      <c r="C386" t="s">
        <v>2420</v>
      </c>
      <c r="D386" t="s">
        <v>665</v>
      </c>
      <c r="E386" t="s">
        <v>1500</v>
      </c>
      <c r="F386" t="s">
        <v>2128</v>
      </c>
      <c r="G386" t="s">
        <v>250</v>
      </c>
      <c r="H386" t="b">
        <v>1</v>
      </c>
      <c r="I386" t="s">
        <v>1799</v>
      </c>
      <c r="J386" t="s">
        <v>1856</v>
      </c>
      <c r="K386" t="s">
        <v>2421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3">
        <v>395098666122</v>
      </c>
      <c r="R386">
        <v>82.8</v>
      </c>
      <c r="S386">
        <v>23.1</v>
      </c>
      <c r="T386">
        <v>25.3</v>
      </c>
      <c r="U386">
        <v>9053300</v>
      </c>
      <c r="V386" s="5">
        <f t="shared" si="15"/>
        <v>9694</v>
      </c>
      <c r="W386" s="5">
        <f t="shared" ca="1" si="16"/>
        <v>46116</v>
      </c>
      <c r="X386">
        <f t="shared" ca="1" si="17"/>
        <v>99</v>
      </c>
    </row>
    <row r="387" spans="1:24" x14ac:dyDescent="0.25">
      <c r="A387">
        <v>411</v>
      </c>
      <c r="B387" t="s">
        <v>103</v>
      </c>
      <c r="C387" t="s">
        <v>2422</v>
      </c>
      <c r="D387" t="s">
        <v>1811</v>
      </c>
      <c r="E387" t="s">
        <v>1812</v>
      </c>
      <c r="F387" t="s">
        <v>2129</v>
      </c>
      <c r="G387" t="s">
        <v>103</v>
      </c>
      <c r="H387" t="b">
        <v>0</v>
      </c>
      <c r="I387" t="s">
        <v>2223</v>
      </c>
      <c r="J387" t="s">
        <v>2130</v>
      </c>
      <c r="K387" t="s">
        <v>2131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3">
        <v>1258286717125</v>
      </c>
      <c r="R387">
        <v>75</v>
      </c>
      <c r="S387">
        <v>13.1</v>
      </c>
      <c r="T387">
        <v>55.1</v>
      </c>
      <c r="U387">
        <v>126014024</v>
      </c>
      <c r="V387" s="5">
        <f t="shared" ref="V387:V450" si="18">DATE(M387, N387, O387 )</f>
        <v>23133</v>
      </c>
      <c r="W387" s="5">
        <f t="shared" ref="W387:W450" ca="1" si="19">TODAY()</f>
        <v>46116</v>
      </c>
      <c r="X387">
        <f t="shared" ref="X387:X450" ca="1" si="20">INT(YEARFRAC(V387, W387))</f>
        <v>62</v>
      </c>
    </row>
    <row r="388" spans="1:24" x14ac:dyDescent="0.25">
      <c r="A388">
        <v>411</v>
      </c>
      <c r="B388" t="s">
        <v>72</v>
      </c>
      <c r="C388" t="s">
        <v>2423</v>
      </c>
      <c r="D388" t="s">
        <v>497</v>
      </c>
      <c r="E388" t="s">
        <v>1923</v>
      </c>
      <c r="F388" t="s">
        <v>1864</v>
      </c>
      <c r="G388" t="s">
        <v>72</v>
      </c>
      <c r="H388" t="b">
        <v>1</v>
      </c>
      <c r="I388" t="s">
        <v>1799</v>
      </c>
      <c r="J388" t="s">
        <v>1508</v>
      </c>
      <c r="K388" t="s">
        <v>2424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3">
        <v>530832908738</v>
      </c>
      <c r="R388">
        <v>82.5</v>
      </c>
      <c r="S388">
        <v>27.9</v>
      </c>
      <c r="T388">
        <v>49.1</v>
      </c>
      <c r="U388">
        <v>10285453</v>
      </c>
      <c r="V388" s="5">
        <f t="shared" si="18"/>
        <v>13942</v>
      </c>
      <c r="W388" s="5">
        <f t="shared" ca="1" si="19"/>
        <v>46116</v>
      </c>
      <c r="X388">
        <f t="shared" ca="1" si="20"/>
        <v>88</v>
      </c>
    </row>
    <row r="389" spans="1:24" x14ac:dyDescent="0.25">
      <c r="A389">
        <v>411</v>
      </c>
      <c r="B389" t="s">
        <v>381</v>
      </c>
      <c r="C389" t="s">
        <v>2425</v>
      </c>
      <c r="D389" t="s">
        <v>1511</v>
      </c>
      <c r="E389" t="s">
        <v>2132</v>
      </c>
      <c r="F389" t="s">
        <v>2133</v>
      </c>
      <c r="G389" t="s">
        <v>381</v>
      </c>
      <c r="H389" t="b">
        <v>1</v>
      </c>
      <c r="I389" t="s">
        <v>1799</v>
      </c>
      <c r="J389" t="s">
        <v>2134</v>
      </c>
      <c r="K389" t="s">
        <v>2426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3">
        <v>909070395161</v>
      </c>
      <c r="R389">
        <v>81.8</v>
      </c>
      <c r="S389">
        <v>23</v>
      </c>
      <c r="T389">
        <v>41.2</v>
      </c>
      <c r="U389">
        <v>17332850</v>
      </c>
      <c r="V389" s="5">
        <f t="shared" si="18"/>
        <v>12268</v>
      </c>
      <c r="W389" s="5">
        <f t="shared" ca="1" si="19"/>
        <v>46116</v>
      </c>
      <c r="X389">
        <f t="shared" ca="1" si="20"/>
        <v>92</v>
      </c>
    </row>
    <row r="390" spans="1:24" x14ac:dyDescent="0.25">
      <c r="A390">
        <v>411</v>
      </c>
      <c r="B390" t="s">
        <v>103</v>
      </c>
      <c r="C390" t="s">
        <v>2427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1799</v>
      </c>
      <c r="J390" t="s">
        <v>1386</v>
      </c>
      <c r="K390" t="s">
        <v>2135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3">
        <v>19910000000000</v>
      </c>
      <c r="R390">
        <v>77</v>
      </c>
      <c r="S390">
        <v>9.4</v>
      </c>
      <c r="T390">
        <v>59.2</v>
      </c>
      <c r="U390">
        <v>1397715000</v>
      </c>
      <c r="V390" s="5">
        <f t="shared" si="18"/>
        <v>23377</v>
      </c>
      <c r="W390" s="5">
        <f t="shared" ca="1" si="19"/>
        <v>46116</v>
      </c>
      <c r="X390">
        <f t="shared" ca="1" si="20"/>
        <v>62</v>
      </c>
    </row>
    <row r="391" spans="1:24" x14ac:dyDescent="0.25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1799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3">
        <v>19910000000000</v>
      </c>
      <c r="R391">
        <v>77</v>
      </c>
      <c r="S391">
        <v>9.4</v>
      </c>
      <c r="T391">
        <v>59.2</v>
      </c>
      <c r="U391">
        <v>1397715000</v>
      </c>
      <c r="V391" s="5">
        <f t="shared" si="18"/>
        <v>23377</v>
      </c>
      <c r="W391" s="5">
        <f t="shared" ca="1" si="19"/>
        <v>46116</v>
      </c>
      <c r="X391">
        <f t="shared" ca="1" si="20"/>
        <v>62</v>
      </c>
    </row>
    <row r="392" spans="1:24" x14ac:dyDescent="0.25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1799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3">
        <v>19910000000000</v>
      </c>
      <c r="R392">
        <v>77</v>
      </c>
      <c r="S392">
        <v>9.4</v>
      </c>
      <c r="T392">
        <v>59.2</v>
      </c>
      <c r="U392">
        <v>1397715000</v>
      </c>
      <c r="V392" s="5">
        <f t="shared" si="18"/>
        <v>26299</v>
      </c>
      <c r="W392" s="5">
        <f t="shared" ca="1" si="19"/>
        <v>46116</v>
      </c>
      <c r="X392">
        <f t="shared" ca="1" si="20"/>
        <v>54</v>
      </c>
    </row>
    <row r="393" spans="1:24" x14ac:dyDescent="0.25">
      <c r="A393">
        <v>411</v>
      </c>
      <c r="B393" t="s">
        <v>2491</v>
      </c>
      <c r="C393" t="s">
        <v>2136</v>
      </c>
      <c r="D393" t="s">
        <v>1526</v>
      </c>
      <c r="E393" t="s">
        <v>1527</v>
      </c>
      <c r="F393" t="s">
        <v>1864</v>
      </c>
      <c r="G393" t="s">
        <v>2491</v>
      </c>
      <c r="H393" t="b">
        <v>1</v>
      </c>
      <c r="I393" t="s">
        <v>1799</v>
      </c>
      <c r="J393" t="s">
        <v>1528</v>
      </c>
      <c r="K393" t="s">
        <v>2137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3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 s="5">
        <f t="shared" si="18"/>
        <v>22838</v>
      </c>
      <c r="W393" s="5">
        <f t="shared" ca="1" si="19"/>
        <v>46116</v>
      </c>
      <c r="X393">
        <f t="shared" ca="1" si="20"/>
        <v>63</v>
      </c>
    </row>
    <row r="394" spans="1:24" x14ac:dyDescent="0.25">
      <c r="A394">
        <v>418</v>
      </c>
      <c r="B394" t="s">
        <v>72</v>
      </c>
      <c r="C394" t="s">
        <v>2138</v>
      </c>
      <c r="D394" t="s">
        <v>565</v>
      </c>
      <c r="E394" t="s">
        <v>566</v>
      </c>
      <c r="F394" t="s">
        <v>2139</v>
      </c>
      <c r="G394" t="s">
        <v>72</v>
      </c>
      <c r="H394" t="b">
        <v>1</v>
      </c>
      <c r="I394" t="s">
        <v>1799</v>
      </c>
      <c r="J394" t="s">
        <v>1533</v>
      </c>
      <c r="K394" t="s">
        <v>1957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3">
        <v>448120428859</v>
      </c>
      <c r="R394">
        <v>54.3</v>
      </c>
      <c r="S394">
        <v>1.5</v>
      </c>
      <c r="T394">
        <v>34.799999999999997</v>
      </c>
      <c r="U394">
        <v>200963599</v>
      </c>
      <c r="V394" s="5">
        <f t="shared" si="18"/>
        <v>19478</v>
      </c>
      <c r="W394" s="5">
        <f t="shared" ca="1" si="19"/>
        <v>46116</v>
      </c>
      <c r="X394">
        <f t="shared" ca="1" si="20"/>
        <v>72</v>
      </c>
    </row>
    <row r="395" spans="1:24" x14ac:dyDescent="0.25">
      <c r="A395">
        <v>418</v>
      </c>
      <c r="B395" t="s">
        <v>2491</v>
      </c>
      <c r="C395" t="s">
        <v>2140</v>
      </c>
      <c r="D395" t="s">
        <v>32</v>
      </c>
      <c r="E395" t="s">
        <v>886</v>
      </c>
      <c r="F395" t="s">
        <v>802</v>
      </c>
      <c r="G395" t="s">
        <v>2491</v>
      </c>
      <c r="H395" t="b">
        <v>1</v>
      </c>
      <c r="I395" t="s">
        <v>1799</v>
      </c>
      <c r="J395" t="s">
        <v>1535</v>
      </c>
      <c r="K395" t="s">
        <v>2141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3">
        <v>21427700000000</v>
      </c>
      <c r="R395">
        <v>78.5</v>
      </c>
      <c r="S395">
        <v>9.6</v>
      </c>
      <c r="T395">
        <v>36.6</v>
      </c>
      <c r="U395">
        <v>328239523</v>
      </c>
      <c r="V395" s="5">
        <f t="shared" si="18"/>
        <v>23589</v>
      </c>
      <c r="W395" s="5">
        <f t="shared" ca="1" si="19"/>
        <v>46116</v>
      </c>
      <c r="X395">
        <f t="shared" ca="1" si="20"/>
        <v>61</v>
      </c>
    </row>
    <row r="396" spans="1:24" x14ac:dyDescent="0.25">
      <c r="A396">
        <v>418</v>
      </c>
      <c r="B396" t="s">
        <v>21</v>
      </c>
      <c r="C396" t="s">
        <v>2142</v>
      </c>
      <c r="D396" t="s">
        <v>1837</v>
      </c>
      <c r="E396" t="s">
        <v>1991</v>
      </c>
      <c r="F396" t="s">
        <v>2428</v>
      </c>
      <c r="G396" t="s">
        <v>21</v>
      </c>
      <c r="H396" t="b">
        <v>0</v>
      </c>
      <c r="I396" t="s">
        <v>1799</v>
      </c>
      <c r="J396" t="s">
        <v>1539</v>
      </c>
      <c r="K396" t="s">
        <v>1809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3">
        <v>3845630030824</v>
      </c>
      <c r="R396">
        <v>80.900000000000006</v>
      </c>
      <c r="S396">
        <v>11.5</v>
      </c>
      <c r="T396">
        <v>48.8</v>
      </c>
      <c r="U396">
        <v>83132799</v>
      </c>
      <c r="V396" s="5">
        <f t="shared" si="18"/>
        <v>15977</v>
      </c>
      <c r="W396" s="5">
        <f t="shared" ca="1" si="19"/>
        <v>46116</v>
      </c>
      <c r="X396">
        <f t="shared" ca="1" si="20"/>
        <v>82</v>
      </c>
    </row>
    <row r="397" spans="1:24" x14ac:dyDescent="0.25">
      <c r="A397">
        <v>418</v>
      </c>
      <c r="B397" t="s">
        <v>21</v>
      </c>
      <c r="C397" t="s">
        <v>2429</v>
      </c>
      <c r="D397" t="s">
        <v>1837</v>
      </c>
      <c r="E397" t="s">
        <v>1991</v>
      </c>
      <c r="F397" t="s">
        <v>2428</v>
      </c>
      <c r="G397" t="s">
        <v>21</v>
      </c>
      <c r="H397" t="b">
        <v>0</v>
      </c>
      <c r="I397" t="s">
        <v>1799</v>
      </c>
      <c r="J397" t="s">
        <v>1539</v>
      </c>
      <c r="K397" t="s">
        <v>2430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3">
        <v>3845630030824</v>
      </c>
      <c r="R397">
        <v>80.900000000000006</v>
      </c>
      <c r="S397">
        <v>11.5</v>
      </c>
      <c r="T397">
        <v>48.8</v>
      </c>
      <c r="U397">
        <v>83132799</v>
      </c>
      <c r="V397" s="5">
        <f t="shared" si="18"/>
        <v>18629</v>
      </c>
      <c r="W397" s="5">
        <f t="shared" ca="1" si="19"/>
        <v>46116</v>
      </c>
      <c r="X397">
        <f t="shared" ca="1" si="20"/>
        <v>75</v>
      </c>
    </row>
    <row r="398" spans="1:24" x14ac:dyDescent="0.25">
      <c r="A398">
        <v>425</v>
      </c>
      <c r="B398" t="s">
        <v>1868</v>
      </c>
      <c r="C398" t="s">
        <v>2143</v>
      </c>
      <c r="D398" t="s">
        <v>327</v>
      </c>
      <c r="E398" t="s">
        <v>1884</v>
      </c>
      <c r="F398" t="s">
        <v>2144</v>
      </c>
      <c r="G398" t="s">
        <v>1868</v>
      </c>
      <c r="H398" t="b">
        <v>1</v>
      </c>
      <c r="I398" t="s">
        <v>1799</v>
      </c>
      <c r="J398" t="s">
        <v>2145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3">
        <v>1699876578871</v>
      </c>
      <c r="R398">
        <v>72.7</v>
      </c>
      <c r="S398">
        <v>11.4</v>
      </c>
      <c r="T398">
        <v>46.2</v>
      </c>
      <c r="U398">
        <v>144373535</v>
      </c>
      <c r="V398" s="5">
        <f t="shared" si="18"/>
        <v>21601</v>
      </c>
      <c r="W398" s="5">
        <f t="shared" ca="1" si="19"/>
        <v>46116</v>
      </c>
      <c r="X398">
        <f t="shared" ca="1" si="20"/>
        <v>67</v>
      </c>
    </row>
    <row r="399" spans="1:24" x14ac:dyDescent="0.25">
      <c r="A399">
        <v>425</v>
      </c>
      <c r="B399" t="s">
        <v>462</v>
      </c>
      <c r="C399" t="s">
        <v>2146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1799</v>
      </c>
      <c r="J399" t="s">
        <v>2147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3">
        <v>21427700000000</v>
      </c>
      <c r="R399">
        <v>78.5</v>
      </c>
      <c r="S399">
        <v>9.6</v>
      </c>
      <c r="T399">
        <v>36.6</v>
      </c>
      <c r="U399">
        <v>328239523</v>
      </c>
      <c r="V399" s="5">
        <f t="shared" si="18"/>
        <v>13892</v>
      </c>
      <c r="W399" s="5">
        <f t="shared" ca="1" si="19"/>
        <v>46116</v>
      </c>
      <c r="X399">
        <f t="shared" ca="1" si="20"/>
        <v>88</v>
      </c>
    </row>
    <row r="400" spans="1:24" x14ac:dyDescent="0.25">
      <c r="A400">
        <v>425</v>
      </c>
      <c r="B400" t="s">
        <v>21</v>
      </c>
      <c r="C400" t="s">
        <v>1548</v>
      </c>
      <c r="D400" t="s">
        <v>133</v>
      </c>
      <c r="E400" t="s">
        <v>2148</v>
      </c>
      <c r="F400" t="s">
        <v>1550</v>
      </c>
      <c r="G400" t="s">
        <v>21</v>
      </c>
      <c r="H400" t="b">
        <v>1</v>
      </c>
      <c r="I400" t="s">
        <v>1799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3">
        <v>1736425629520</v>
      </c>
      <c r="R400">
        <v>81.900000000000006</v>
      </c>
      <c r="S400">
        <v>12.8</v>
      </c>
      <c r="T400">
        <v>24.5</v>
      </c>
      <c r="U400">
        <v>36991981</v>
      </c>
      <c r="V400" s="5">
        <f t="shared" si="18"/>
        <v>17947</v>
      </c>
      <c r="W400" s="5">
        <f t="shared" ca="1" si="19"/>
        <v>46116</v>
      </c>
      <c r="X400">
        <f t="shared" ca="1" si="20"/>
        <v>77</v>
      </c>
    </row>
    <row r="401" spans="1:24" x14ac:dyDescent="0.25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2431</v>
      </c>
      <c r="G401" t="s">
        <v>38</v>
      </c>
      <c r="H401" t="b">
        <v>1</v>
      </c>
      <c r="I401" t="s">
        <v>1799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3">
        <v>21427700000000</v>
      </c>
      <c r="R401">
        <v>78.5</v>
      </c>
      <c r="S401">
        <v>9.6</v>
      </c>
      <c r="T401">
        <v>36.6</v>
      </c>
      <c r="U401">
        <v>328239523</v>
      </c>
      <c r="V401" s="5">
        <f t="shared" si="18"/>
        <v>21788</v>
      </c>
      <c r="W401" s="5">
        <f t="shared" ca="1" si="19"/>
        <v>46116</v>
      </c>
      <c r="X401">
        <f t="shared" ca="1" si="20"/>
        <v>66</v>
      </c>
    </row>
    <row r="402" spans="1:24" x14ac:dyDescent="0.25">
      <c r="A402">
        <v>425</v>
      </c>
      <c r="B402" t="s">
        <v>21</v>
      </c>
      <c r="C402" t="s">
        <v>2149</v>
      </c>
      <c r="D402" t="s">
        <v>74</v>
      </c>
      <c r="E402" t="s">
        <v>1815</v>
      </c>
      <c r="F402" t="s">
        <v>1931</v>
      </c>
      <c r="G402" t="s">
        <v>21</v>
      </c>
      <c r="H402" t="b">
        <v>1</v>
      </c>
      <c r="I402" t="s">
        <v>1799</v>
      </c>
      <c r="J402" t="s">
        <v>1932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3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 s="5">
        <f t="shared" si="18"/>
        <v>21186</v>
      </c>
      <c r="W402" s="5">
        <f t="shared" ca="1" si="19"/>
        <v>46116</v>
      </c>
      <c r="X402">
        <f t="shared" ca="1" si="20"/>
        <v>68</v>
      </c>
    </row>
    <row r="403" spans="1:24" x14ac:dyDescent="0.25">
      <c r="A403">
        <v>425</v>
      </c>
      <c r="B403" t="s">
        <v>72</v>
      </c>
      <c r="C403" t="s">
        <v>2150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1799</v>
      </c>
      <c r="J403" t="s">
        <v>1560</v>
      </c>
      <c r="K403" t="s">
        <v>2151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3">
        <v>543649976166</v>
      </c>
      <c r="R403">
        <v>76.900000000000006</v>
      </c>
      <c r="S403">
        <v>14.9</v>
      </c>
      <c r="T403">
        <v>29.5</v>
      </c>
      <c r="U403">
        <v>69625582</v>
      </c>
      <c r="V403" s="5">
        <f t="shared" si="18"/>
        <v>12725</v>
      </c>
      <c r="W403" s="5">
        <f t="shared" ca="1" si="19"/>
        <v>46116</v>
      </c>
      <c r="X403">
        <f t="shared" ca="1" si="20"/>
        <v>91</v>
      </c>
    </row>
    <row r="404" spans="1:24" x14ac:dyDescent="0.25">
      <c r="A404">
        <v>425</v>
      </c>
      <c r="B404" t="s">
        <v>2491</v>
      </c>
      <c r="C404" t="s">
        <v>2432</v>
      </c>
      <c r="D404" t="s">
        <v>665</v>
      </c>
      <c r="E404" t="s">
        <v>1500</v>
      </c>
      <c r="F404" t="s">
        <v>1864</v>
      </c>
      <c r="G404" t="s">
        <v>2491</v>
      </c>
      <c r="H404" t="b">
        <v>1</v>
      </c>
      <c r="I404" t="s">
        <v>1799</v>
      </c>
      <c r="J404" t="s">
        <v>1563</v>
      </c>
      <c r="K404" t="s">
        <v>2433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3">
        <v>395098666122</v>
      </c>
      <c r="R404">
        <v>82.8</v>
      </c>
      <c r="S404">
        <v>23.1</v>
      </c>
      <c r="T404">
        <v>25.3</v>
      </c>
      <c r="U404">
        <v>9053300</v>
      </c>
      <c r="V404" s="5">
        <f t="shared" si="18"/>
        <v>11253</v>
      </c>
      <c r="W404" s="5">
        <f t="shared" ca="1" si="19"/>
        <v>46116</v>
      </c>
      <c r="X404">
        <f t="shared" ca="1" si="20"/>
        <v>95</v>
      </c>
    </row>
    <row r="405" spans="1:24" x14ac:dyDescent="0.25">
      <c r="A405">
        <v>425</v>
      </c>
      <c r="B405" t="s">
        <v>2491</v>
      </c>
      <c r="C405" t="s">
        <v>2152</v>
      </c>
      <c r="D405" t="s">
        <v>32</v>
      </c>
      <c r="E405" t="s">
        <v>831</v>
      </c>
      <c r="F405" t="s">
        <v>1864</v>
      </c>
      <c r="G405" t="s">
        <v>2491</v>
      </c>
      <c r="H405" t="b">
        <v>1</v>
      </c>
      <c r="I405" t="s">
        <v>1799</v>
      </c>
      <c r="J405" t="s">
        <v>2153</v>
      </c>
      <c r="K405" t="s">
        <v>1809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3">
        <v>21427700000000</v>
      </c>
      <c r="R405">
        <v>78.5</v>
      </c>
      <c r="S405">
        <v>9.6</v>
      </c>
      <c r="T405">
        <v>36.6</v>
      </c>
      <c r="U405">
        <v>328239523</v>
      </c>
      <c r="V405" s="5">
        <f t="shared" si="18"/>
        <v>16987</v>
      </c>
      <c r="W405" s="5">
        <f t="shared" ca="1" si="19"/>
        <v>46116</v>
      </c>
      <c r="X405">
        <f t="shared" ca="1" si="20"/>
        <v>79</v>
      </c>
    </row>
    <row r="406" spans="1:24" x14ac:dyDescent="0.25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1799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3">
        <v>21427700000000</v>
      </c>
      <c r="R406">
        <v>78.5</v>
      </c>
      <c r="S406">
        <v>9.6</v>
      </c>
      <c r="T406">
        <v>36.6</v>
      </c>
      <c r="U406">
        <v>328239523</v>
      </c>
      <c r="V406" s="5">
        <f t="shared" si="18"/>
        <v>18811</v>
      </c>
      <c r="W406" s="5">
        <f t="shared" ca="1" si="19"/>
        <v>46116</v>
      </c>
      <c r="X406">
        <f t="shared" ca="1" si="20"/>
        <v>74</v>
      </c>
    </row>
    <row r="407" spans="1:24" x14ac:dyDescent="0.25">
      <c r="A407">
        <v>425</v>
      </c>
      <c r="B407" t="s">
        <v>21</v>
      </c>
      <c r="C407" t="s">
        <v>2434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1799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3">
        <v>21427700000000</v>
      </c>
      <c r="R407">
        <v>78.5</v>
      </c>
      <c r="S407">
        <v>9.6</v>
      </c>
      <c r="T407">
        <v>36.6</v>
      </c>
      <c r="U407">
        <v>328239523</v>
      </c>
      <c r="V407" s="5">
        <f t="shared" si="18"/>
        <v>13766</v>
      </c>
      <c r="W407" s="5">
        <f t="shared" ca="1" si="19"/>
        <v>46116</v>
      </c>
      <c r="X407">
        <f t="shared" ca="1" si="20"/>
        <v>88</v>
      </c>
    </row>
    <row r="408" spans="1:24" x14ac:dyDescent="0.25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1799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3">
        <v>19910000000000</v>
      </c>
      <c r="R408">
        <v>77</v>
      </c>
      <c r="S408">
        <v>9.4</v>
      </c>
      <c r="T408">
        <v>59.2</v>
      </c>
      <c r="U408">
        <v>1397715000</v>
      </c>
      <c r="V408" s="5">
        <f t="shared" si="18"/>
        <v>23012</v>
      </c>
      <c r="W408" s="5">
        <f t="shared" ca="1" si="19"/>
        <v>46116</v>
      </c>
      <c r="X408">
        <f t="shared" ca="1" si="20"/>
        <v>63</v>
      </c>
    </row>
    <row r="409" spans="1:24" x14ac:dyDescent="0.25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1799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3">
        <v>543649976166</v>
      </c>
      <c r="R409">
        <v>76.900000000000006</v>
      </c>
      <c r="S409">
        <v>14.9</v>
      </c>
      <c r="T409">
        <v>29.5</v>
      </c>
      <c r="U409">
        <v>69625582</v>
      </c>
      <c r="V409" s="5">
        <f t="shared" si="18"/>
        <v>11049</v>
      </c>
      <c r="W409" s="5">
        <f t="shared" ca="1" si="19"/>
        <v>46116</v>
      </c>
      <c r="X409">
        <f t="shared" ca="1" si="20"/>
        <v>96</v>
      </c>
    </row>
    <row r="410" spans="1:24" x14ac:dyDescent="0.25">
      <c r="A410">
        <v>437</v>
      </c>
      <c r="B410" t="s">
        <v>2491</v>
      </c>
      <c r="C410" t="s">
        <v>1580</v>
      </c>
      <c r="D410" t="s">
        <v>32</v>
      </c>
      <c r="E410" t="s">
        <v>1581</v>
      </c>
      <c r="F410" t="s">
        <v>2240</v>
      </c>
      <c r="G410" t="s">
        <v>2491</v>
      </c>
      <c r="H410" t="b">
        <v>1</v>
      </c>
      <c r="I410" t="s">
        <v>1799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3">
        <v>21427700000000</v>
      </c>
      <c r="R410">
        <v>78.5</v>
      </c>
      <c r="S410">
        <v>9.6</v>
      </c>
      <c r="T410">
        <v>36.6</v>
      </c>
      <c r="U410">
        <v>328239523</v>
      </c>
      <c r="V410" s="5">
        <f t="shared" si="18"/>
        <v>22394</v>
      </c>
      <c r="W410" s="5">
        <f t="shared" ca="1" si="19"/>
        <v>46116</v>
      </c>
      <c r="X410">
        <f t="shared" ca="1" si="20"/>
        <v>64</v>
      </c>
    </row>
    <row r="411" spans="1:24" x14ac:dyDescent="0.25">
      <c r="A411">
        <v>437</v>
      </c>
      <c r="B411" t="s">
        <v>2491</v>
      </c>
      <c r="C411" t="s">
        <v>1583</v>
      </c>
      <c r="D411" t="s">
        <v>32</v>
      </c>
      <c r="E411" t="s">
        <v>831</v>
      </c>
      <c r="F411" t="s">
        <v>2493</v>
      </c>
      <c r="G411" t="s">
        <v>2491</v>
      </c>
      <c r="H411" t="b">
        <v>1</v>
      </c>
      <c r="I411" t="s">
        <v>1799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3">
        <v>21427700000000</v>
      </c>
      <c r="R411">
        <v>78.5</v>
      </c>
      <c r="S411">
        <v>9.6</v>
      </c>
      <c r="T411">
        <v>36.6</v>
      </c>
      <c r="U411">
        <v>328239523</v>
      </c>
      <c r="V411" s="5">
        <f t="shared" si="18"/>
        <v>22201</v>
      </c>
      <c r="W411" s="5">
        <f t="shared" ca="1" si="19"/>
        <v>46116</v>
      </c>
      <c r="X411">
        <f t="shared" ca="1" si="20"/>
        <v>65</v>
      </c>
    </row>
    <row r="412" spans="1:24" x14ac:dyDescent="0.25">
      <c r="A412">
        <v>437</v>
      </c>
      <c r="B412" t="s">
        <v>103</v>
      </c>
      <c r="C412" t="s">
        <v>2154</v>
      </c>
      <c r="D412" t="s">
        <v>105</v>
      </c>
      <c r="E412" t="s">
        <v>246</v>
      </c>
      <c r="F412" t="s">
        <v>2435</v>
      </c>
      <c r="G412" t="s">
        <v>103</v>
      </c>
      <c r="H412" t="b">
        <v>0</v>
      </c>
      <c r="I412" t="s">
        <v>1799</v>
      </c>
      <c r="J412" t="s">
        <v>1589</v>
      </c>
      <c r="K412" t="s">
        <v>2155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3">
        <v>19910000000000</v>
      </c>
      <c r="R412">
        <v>77</v>
      </c>
      <c r="S412">
        <v>9.4</v>
      </c>
      <c r="T412">
        <v>59.2</v>
      </c>
      <c r="U412">
        <v>1397715000</v>
      </c>
      <c r="V412" s="5">
        <f t="shared" si="18"/>
        <v>20835</v>
      </c>
      <c r="W412" s="5">
        <f t="shared" ca="1" si="19"/>
        <v>46116</v>
      </c>
      <c r="X412">
        <f t="shared" ca="1" si="20"/>
        <v>69</v>
      </c>
    </row>
    <row r="413" spans="1:24" x14ac:dyDescent="0.25">
      <c r="A413">
        <v>442</v>
      </c>
      <c r="B413" t="s">
        <v>2491</v>
      </c>
      <c r="C413" t="s">
        <v>1591</v>
      </c>
      <c r="D413" t="s">
        <v>32</v>
      </c>
      <c r="E413" t="s">
        <v>1850</v>
      </c>
      <c r="F413" t="s">
        <v>802</v>
      </c>
      <c r="G413" t="s">
        <v>2491</v>
      </c>
      <c r="H413" t="b">
        <v>1</v>
      </c>
      <c r="I413" t="s">
        <v>1799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3">
        <v>21427700000000</v>
      </c>
      <c r="R413">
        <v>78.5</v>
      </c>
      <c r="S413">
        <v>9.6</v>
      </c>
      <c r="T413">
        <v>36.6</v>
      </c>
      <c r="U413">
        <v>328239523</v>
      </c>
      <c r="V413" s="5">
        <f t="shared" si="18"/>
        <v>23740</v>
      </c>
      <c r="W413" s="5">
        <f t="shared" ca="1" si="19"/>
        <v>46116</v>
      </c>
      <c r="X413">
        <f t="shared" ca="1" si="20"/>
        <v>61</v>
      </c>
    </row>
    <row r="414" spans="1:24" x14ac:dyDescent="0.25">
      <c r="A414">
        <v>442</v>
      </c>
      <c r="B414" t="s">
        <v>351</v>
      </c>
      <c r="C414" t="s">
        <v>1594</v>
      </c>
      <c r="D414" t="s">
        <v>2061</v>
      </c>
      <c r="E414" t="s">
        <v>2156</v>
      </c>
      <c r="F414" t="s">
        <v>1922</v>
      </c>
      <c r="G414" t="s">
        <v>351</v>
      </c>
      <c r="H414" t="b">
        <v>0</v>
      </c>
      <c r="I414" t="s">
        <v>1799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3">
        <v>348078018464</v>
      </c>
      <c r="R414">
        <v>81</v>
      </c>
      <c r="S414">
        <v>32.4</v>
      </c>
      <c r="T414">
        <v>23.8</v>
      </c>
      <c r="U414">
        <v>5818553</v>
      </c>
      <c r="V414" s="5">
        <f t="shared" si="18"/>
        <v>17465</v>
      </c>
      <c r="W414" s="5">
        <f t="shared" ca="1" si="19"/>
        <v>46116</v>
      </c>
      <c r="X414">
        <f t="shared" ca="1" si="20"/>
        <v>78</v>
      </c>
    </row>
    <row r="415" spans="1:24" x14ac:dyDescent="0.25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1929</v>
      </c>
      <c r="G415" t="s">
        <v>351</v>
      </c>
      <c r="H415" t="b">
        <v>1</v>
      </c>
      <c r="I415" t="s">
        <v>1799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3">
        <v>21427700000000</v>
      </c>
      <c r="R415">
        <v>78.5</v>
      </c>
      <c r="S415">
        <v>9.6</v>
      </c>
      <c r="T415">
        <v>36.6</v>
      </c>
      <c r="U415">
        <v>328239523</v>
      </c>
      <c r="V415" s="5">
        <f t="shared" si="18"/>
        <v>19204</v>
      </c>
      <c r="W415" s="5">
        <f t="shared" ca="1" si="19"/>
        <v>46116</v>
      </c>
      <c r="X415">
        <f t="shared" ca="1" si="20"/>
        <v>73</v>
      </c>
    </row>
    <row r="416" spans="1:24" x14ac:dyDescent="0.25">
      <c r="A416">
        <v>445</v>
      </c>
      <c r="B416" t="s">
        <v>1868</v>
      </c>
      <c r="C416" t="s">
        <v>2157</v>
      </c>
      <c r="D416" t="s">
        <v>1601</v>
      </c>
      <c r="E416" t="s">
        <v>1602</v>
      </c>
      <c r="F416" t="s">
        <v>1603</v>
      </c>
      <c r="G416" t="s">
        <v>1868</v>
      </c>
      <c r="H416" t="b">
        <v>1</v>
      </c>
      <c r="I416" t="s">
        <v>1799</v>
      </c>
      <c r="J416" t="s">
        <v>2158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3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 s="5">
        <f t="shared" si="18"/>
        <v>24371</v>
      </c>
      <c r="W416" s="5">
        <f t="shared" ca="1" si="19"/>
        <v>46116</v>
      </c>
      <c r="X416">
        <f t="shared" ca="1" si="20"/>
        <v>59</v>
      </c>
    </row>
    <row r="417" spans="1:24" x14ac:dyDescent="0.25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2088</v>
      </c>
      <c r="G417" t="s">
        <v>351</v>
      </c>
      <c r="H417" t="b">
        <v>1</v>
      </c>
      <c r="I417" t="s">
        <v>1799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3">
        <v>21427700000000</v>
      </c>
      <c r="R417">
        <v>78.5</v>
      </c>
      <c r="S417">
        <v>9.6</v>
      </c>
      <c r="T417">
        <v>36.6</v>
      </c>
      <c r="U417">
        <v>328239523</v>
      </c>
      <c r="V417" s="5">
        <f t="shared" si="18"/>
        <v>12677</v>
      </c>
      <c r="W417" s="5">
        <f t="shared" ca="1" si="19"/>
        <v>46116</v>
      </c>
      <c r="X417">
        <f t="shared" ca="1" si="20"/>
        <v>91</v>
      </c>
    </row>
    <row r="418" spans="1:24" x14ac:dyDescent="0.25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1799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3">
        <v>1736425629520</v>
      </c>
      <c r="R418">
        <v>81.900000000000006</v>
      </c>
      <c r="S418">
        <v>12.8</v>
      </c>
      <c r="T418">
        <v>24.5</v>
      </c>
      <c r="U418">
        <v>36991981</v>
      </c>
      <c r="V418" s="5">
        <f t="shared" si="18"/>
        <v>10959</v>
      </c>
      <c r="W418" s="5">
        <f t="shared" ca="1" si="19"/>
        <v>46116</v>
      </c>
      <c r="X418">
        <f t="shared" ca="1" si="20"/>
        <v>96</v>
      </c>
    </row>
    <row r="419" spans="1:24" x14ac:dyDescent="0.25">
      <c r="A419">
        <v>445</v>
      </c>
      <c r="B419" t="s">
        <v>462</v>
      </c>
      <c r="C419" t="s">
        <v>2436</v>
      </c>
      <c r="D419" t="s">
        <v>497</v>
      </c>
      <c r="E419" t="s">
        <v>1923</v>
      </c>
      <c r="F419" t="s">
        <v>2063</v>
      </c>
      <c r="G419" t="s">
        <v>462</v>
      </c>
      <c r="H419" t="b">
        <v>0</v>
      </c>
      <c r="I419" t="s">
        <v>1799</v>
      </c>
      <c r="J419" t="s">
        <v>1613</v>
      </c>
      <c r="K419" t="s">
        <v>2437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3">
        <v>530832908738</v>
      </c>
      <c r="R419">
        <v>82.5</v>
      </c>
      <c r="S419">
        <v>27.9</v>
      </c>
      <c r="T419">
        <v>49.1</v>
      </c>
      <c r="U419">
        <v>10285453</v>
      </c>
      <c r="V419" s="5">
        <f t="shared" si="18"/>
        <v>18845</v>
      </c>
      <c r="W419" s="5">
        <f t="shared" ca="1" si="19"/>
        <v>46116</v>
      </c>
      <c r="X419">
        <f t="shared" ca="1" si="20"/>
        <v>74</v>
      </c>
    </row>
    <row r="420" spans="1:24" x14ac:dyDescent="0.25">
      <c r="A420">
        <v>445</v>
      </c>
      <c r="B420" t="s">
        <v>580</v>
      </c>
      <c r="C420" t="s">
        <v>2159</v>
      </c>
      <c r="D420" t="s">
        <v>170</v>
      </c>
      <c r="E420" t="s">
        <v>1616</v>
      </c>
      <c r="F420" t="s">
        <v>2057</v>
      </c>
      <c r="G420" t="s">
        <v>580</v>
      </c>
      <c r="H420" t="b">
        <v>0</v>
      </c>
      <c r="I420" t="s">
        <v>1799</v>
      </c>
      <c r="J420" t="s">
        <v>2160</v>
      </c>
      <c r="K420" t="s">
        <v>1876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3">
        <v>703082435360</v>
      </c>
      <c r="R420">
        <v>83.6</v>
      </c>
      <c r="S420">
        <v>10.1</v>
      </c>
      <c r="T420">
        <v>28.8</v>
      </c>
      <c r="U420">
        <v>8574832</v>
      </c>
      <c r="V420" s="5">
        <f t="shared" si="18"/>
        <v>16788</v>
      </c>
      <c r="W420" s="5">
        <f t="shared" ca="1" si="19"/>
        <v>46116</v>
      </c>
      <c r="X420">
        <f t="shared" ca="1" si="20"/>
        <v>80</v>
      </c>
    </row>
    <row r="421" spans="1:24" x14ac:dyDescent="0.25">
      <c r="A421">
        <v>445</v>
      </c>
      <c r="B421" t="s">
        <v>2491</v>
      </c>
      <c r="C421" t="s">
        <v>2438</v>
      </c>
      <c r="D421" t="s">
        <v>32</v>
      </c>
      <c r="E421" t="s">
        <v>61</v>
      </c>
      <c r="F421" t="s">
        <v>1864</v>
      </c>
      <c r="G421" t="s">
        <v>2491</v>
      </c>
      <c r="H421" t="b">
        <v>0</v>
      </c>
      <c r="I421" t="s">
        <v>1799</v>
      </c>
      <c r="J421" t="s">
        <v>2439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3">
        <v>21427700000000</v>
      </c>
      <c r="R421">
        <v>78.5</v>
      </c>
      <c r="S421">
        <v>9.6</v>
      </c>
      <c r="T421">
        <v>36.6</v>
      </c>
      <c r="U421">
        <v>328239523</v>
      </c>
      <c r="V421" s="5">
        <f t="shared" si="18"/>
        <v>26239</v>
      </c>
      <c r="W421" s="5">
        <f t="shared" ca="1" si="19"/>
        <v>46116</v>
      </c>
      <c r="X421">
        <f t="shared" ca="1" si="20"/>
        <v>54</v>
      </c>
    </row>
    <row r="422" spans="1:24" x14ac:dyDescent="0.25">
      <c r="A422">
        <v>445</v>
      </c>
      <c r="B422" t="s">
        <v>2491</v>
      </c>
      <c r="C422" t="s">
        <v>2440</v>
      </c>
      <c r="D422" t="s">
        <v>32</v>
      </c>
      <c r="E422" t="s">
        <v>2161</v>
      </c>
      <c r="F422" t="s">
        <v>1864</v>
      </c>
      <c r="G422" t="s">
        <v>2491</v>
      </c>
      <c r="H422" t="b">
        <v>0</v>
      </c>
      <c r="I422" t="s">
        <v>1799</v>
      </c>
      <c r="J422" t="s">
        <v>2439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3">
        <v>21427700000000</v>
      </c>
      <c r="R422">
        <v>78.5</v>
      </c>
      <c r="S422">
        <v>9.6</v>
      </c>
      <c r="T422">
        <v>36.6</v>
      </c>
      <c r="U422">
        <v>328239523</v>
      </c>
      <c r="V422" s="5">
        <f t="shared" si="18"/>
        <v>23468</v>
      </c>
      <c r="W422" s="5">
        <f t="shared" ca="1" si="19"/>
        <v>46116</v>
      </c>
      <c r="X422">
        <f t="shared" ca="1" si="20"/>
        <v>62</v>
      </c>
    </row>
    <row r="423" spans="1:24" x14ac:dyDescent="0.25">
      <c r="A423">
        <v>445</v>
      </c>
      <c r="B423" t="s">
        <v>2491</v>
      </c>
      <c r="C423" t="s">
        <v>2441</v>
      </c>
      <c r="D423" t="s">
        <v>32</v>
      </c>
      <c r="E423" t="s">
        <v>61</v>
      </c>
      <c r="F423" t="s">
        <v>1864</v>
      </c>
      <c r="G423" t="s">
        <v>2491</v>
      </c>
      <c r="H423" t="b">
        <v>0</v>
      </c>
      <c r="I423" t="s">
        <v>1799</v>
      </c>
      <c r="J423" t="s">
        <v>2439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3">
        <v>21427700000000</v>
      </c>
      <c r="R423">
        <v>78.5</v>
      </c>
      <c r="S423">
        <v>9.6</v>
      </c>
      <c r="T423">
        <v>36.6</v>
      </c>
      <c r="U423">
        <v>328239523</v>
      </c>
      <c r="V423" s="5">
        <f t="shared" si="18"/>
        <v>24331</v>
      </c>
      <c r="W423" s="5">
        <f t="shared" ca="1" si="19"/>
        <v>46116</v>
      </c>
      <c r="X423">
        <f t="shared" ca="1" si="20"/>
        <v>59</v>
      </c>
    </row>
    <row r="424" spans="1:24" x14ac:dyDescent="0.25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1799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3">
        <v>21427700000000</v>
      </c>
      <c r="R424">
        <v>78.5</v>
      </c>
      <c r="S424">
        <v>9.6</v>
      </c>
      <c r="T424">
        <v>36.6</v>
      </c>
      <c r="U424">
        <v>328239523</v>
      </c>
      <c r="V424" s="5">
        <f t="shared" si="18"/>
        <v>15802</v>
      </c>
      <c r="W424" s="5">
        <f t="shared" ca="1" si="19"/>
        <v>46116</v>
      </c>
      <c r="X424">
        <f t="shared" ca="1" si="20"/>
        <v>82</v>
      </c>
    </row>
    <row r="425" spans="1:24" x14ac:dyDescent="0.25">
      <c r="A425">
        <v>455</v>
      </c>
      <c r="B425" t="s">
        <v>168</v>
      </c>
      <c r="C425" t="s">
        <v>2162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1799</v>
      </c>
      <c r="J425" t="s">
        <v>1629</v>
      </c>
      <c r="K425" t="s">
        <v>2163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3">
        <v>19910000000000</v>
      </c>
      <c r="R425">
        <v>77</v>
      </c>
      <c r="S425">
        <v>9.4</v>
      </c>
      <c r="T425">
        <v>59.2</v>
      </c>
      <c r="U425">
        <v>1397715000</v>
      </c>
      <c r="V425" s="5">
        <f t="shared" si="18"/>
        <v>25903</v>
      </c>
      <c r="W425" s="5">
        <f t="shared" ca="1" si="19"/>
        <v>46116</v>
      </c>
      <c r="X425">
        <f t="shared" ca="1" si="20"/>
        <v>55</v>
      </c>
    </row>
    <row r="426" spans="1:24" x14ac:dyDescent="0.25">
      <c r="A426">
        <v>455</v>
      </c>
      <c r="B426" t="s">
        <v>1800</v>
      </c>
      <c r="C426" t="s">
        <v>2442</v>
      </c>
      <c r="D426" t="s">
        <v>74</v>
      </c>
      <c r="E426" t="s">
        <v>288</v>
      </c>
      <c r="F426" t="s">
        <v>2164</v>
      </c>
      <c r="G426" t="s">
        <v>1800</v>
      </c>
      <c r="H426" t="b">
        <v>0</v>
      </c>
      <c r="I426" t="s">
        <v>1799</v>
      </c>
      <c r="J426" t="s">
        <v>1633</v>
      </c>
      <c r="K426" t="s">
        <v>2165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3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 s="5">
        <f t="shared" si="18"/>
        <v>15405</v>
      </c>
      <c r="W426" s="5">
        <f t="shared" ca="1" si="19"/>
        <v>46116</v>
      </c>
      <c r="X426">
        <f t="shared" ca="1" si="20"/>
        <v>84</v>
      </c>
    </row>
    <row r="427" spans="1:24" x14ac:dyDescent="0.25">
      <c r="A427">
        <v>455</v>
      </c>
      <c r="B427" t="s">
        <v>2491</v>
      </c>
      <c r="C427" t="s">
        <v>1635</v>
      </c>
      <c r="D427" t="s">
        <v>32</v>
      </c>
      <c r="E427" t="s">
        <v>1636</v>
      </c>
      <c r="F427" t="s">
        <v>1864</v>
      </c>
      <c r="G427" t="s">
        <v>2491</v>
      </c>
      <c r="H427" t="b">
        <v>1</v>
      </c>
      <c r="I427" t="s">
        <v>1799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3">
        <v>21427700000000</v>
      </c>
      <c r="R427">
        <v>78.5</v>
      </c>
      <c r="S427">
        <v>9.6</v>
      </c>
      <c r="T427">
        <v>36.6</v>
      </c>
      <c r="U427">
        <v>328239523</v>
      </c>
      <c r="V427" s="5">
        <f t="shared" si="18"/>
        <v>13043</v>
      </c>
      <c r="W427" s="5">
        <f t="shared" ca="1" si="19"/>
        <v>46116</v>
      </c>
      <c r="X427">
        <f t="shared" ca="1" si="20"/>
        <v>90</v>
      </c>
    </row>
    <row r="428" spans="1:24" x14ac:dyDescent="0.25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2166</v>
      </c>
      <c r="G428" t="s">
        <v>351</v>
      </c>
      <c r="H428" t="b">
        <v>1</v>
      </c>
      <c r="I428" t="s">
        <v>1799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3">
        <v>19910000000000</v>
      </c>
      <c r="R428">
        <v>77</v>
      </c>
      <c r="S428">
        <v>9.4</v>
      </c>
      <c r="T428">
        <v>59.2</v>
      </c>
      <c r="U428">
        <v>1397715000</v>
      </c>
      <c r="V428" s="5">
        <f t="shared" si="18"/>
        <v>24473</v>
      </c>
      <c r="W428" s="5">
        <f t="shared" ca="1" si="19"/>
        <v>46116</v>
      </c>
      <c r="X428">
        <f t="shared" ca="1" si="20"/>
        <v>59</v>
      </c>
    </row>
    <row r="429" spans="1:24" x14ac:dyDescent="0.25">
      <c r="A429">
        <v>455</v>
      </c>
      <c r="B429" t="s">
        <v>2491</v>
      </c>
      <c r="C429" t="s">
        <v>1641</v>
      </c>
      <c r="D429" t="s">
        <v>32</v>
      </c>
      <c r="E429" t="s">
        <v>2443</v>
      </c>
      <c r="F429" t="s">
        <v>2167</v>
      </c>
      <c r="G429" t="s">
        <v>2491</v>
      </c>
      <c r="H429" t="b">
        <v>0</v>
      </c>
      <c r="I429" t="s">
        <v>2223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3">
        <v>21427700000000</v>
      </c>
      <c r="R429">
        <v>78.5</v>
      </c>
      <c r="S429">
        <v>9.6</v>
      </c>
      <c r="T429">
        <v>36.6</v>
      </c>
      <c r="U429">
        <v>328239523</v>
      </c>
      <c r="V429" s="5">
        <f t="shared" si="18"/>
        <v>21192</v>
      </c>
      <c r="W429" s="5">
        <f t="shared" ca="1" si="19"/>
        <v>46116</v>
      </c>
      <c r="X429">
        <f t="shared" ca="1" si="20"/>
        <v>68</v>
      </c>
    </row>
    <row r="430" spans="1:24" x14ac:dyDescent="0.25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2167</v>
      </c>
      <c r="G430" t="s">
        <v>381</v>
      </c>
      <c r="H430" t="b">
        <v>0</v>
      </c>
      <c r="I430" t="s">
        <v>1799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3">
        <v>21427700000000</v>
      </c>
      <c r="R430">
        <v>78.5</v>
      </c>
      <c r="S430">
        <v>9.6</v>
      </c>
      <c r="T430">
        <v>36.6</v>
      </c>
      <c r="U430">
        <v>328239523</v>
      </c>
      <c r="V430" s="5">
        <f t="shared" si="18"/>
        <v>19628</v>
      </c>
      <c r="W430" s="5">
        <f t="shared" ca="1" si="19"/>
        <v>46116</v>
      </c>
      <c r="X430">
        <f t="shared" ca="1" si="20"/>
        <v>72</v>
      </c>
    </row>
    <row r="431" spans="1:24" x14ac:dyDescent="0.25">
      <c r="A431">
        <v>455</v>
      </c>
      <c r="B431" t="s">
        <v>1848</v>
      </c>
      <c r="C431" t="s">
        <v>1648</v>
      </c>
      <c r="D431" t="s">
        <v>665</v>
      </c>
      <c r="E431" t="s">
        <v>1500</v>
      </c>
      <c r="F431" t="s">
        <v>2444</v>
      </c>
      <c r="G431" t="s">
        <v>1848</v>
      </c>
      <c r="H431" t="b">
        <v>1</v>
      </c>
      <c r="I431" t="s">
        <v>1799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3">
        <v>395098666122</v>
      </c>
      <c r="R431">
        <v>82.8</v>
      </c>
      <c r="S431">
        <v>23.1</v>
      </c>
      <c r="T431">
        <v>25.3</v>
      </c>
      <c r="U431">
        <v>9053300</v>
      </c>
      <c r="V431" s="5">
        <f t="shared" si="18"/>
        <v>26238</v>
      </c>
      <c r="W431" s="5">
        <f t="shared" ca="1" si="19"/>
        <v>46116</v>
      </c>
      <c r="X431">
        <f t="shared" ca="1" si="20"/>
        <v>54</v>
      </c>
    </row>
    <row r="432" spans="1:24" x14ac:dyDescent="0.25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1799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3">
        <v>2029000000000</v>
      </c>
      <c r="R432">
        <v>82.6</v>
      </c>
      <c r="S432">
        <v>15.6</v>
      </c>
      <c r="T432">
        <v>33.200000000000003</v>
      </c>
      <c r="U432">
        <v>51709098</v>
      </c>
      <c r="V432" s="5">
        <f t="shared" si="18"/>
        <v>21116</v>
      </c>
      <c r="W432" s="5">
        <f t="shared" ca="1" si="19"/>
        <v>46116</v>
      </c>
      <c r="X432">
        <f t="shared" ca="1" si="20"/>
        <v>68</v>
      </c>
    </row>
    <row r="433" spans="1:24" x14ac:dyDescent="0.25">
      <c r="A433">
        <v>455</v>
      </c>
      <c r="B433" t="s">
        <v>1800</v>
      </c>
      <c r="C433" t="s">
        <v>1656</v>
      </c>
      <c r="D433" t="s">
        <v>105</v>
      </c>
      <c r="E433" t="s">
        <v>827</v>
      </c>
      <c r="F433" t="s">
        <v>635</v>
      </c>
      <c r="G433" t="s">
        <v>1800</v>
      </c>
      <c r="H433" t="b">
        <v>1</v>
      </c>
      <c r="I433" t="s">
        <v>1799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3">
        <v>19910000000000</v>
      </c>
      <c r="R433">
        <v>77</v>
      </c>
      <c r="S433">
        <v>9.4</v>
      </c>
      <c r="T433">
        <v>59.2</v>
      </c>
      <c r="U433">
        <v>1397715000</v>
      </c>
      <c r="V433" s="5">
        <f t="shared" si="18"/>
        <v>23377</v>
      </c>
      <c r="W433" s="5">
        <f t="shared" ca="1" si="19"/>
        <v>46116</v>
      </c>
      <c r="X433">
        <f t="shared" ca="1" si="20"/>
        <v>62</v>
      </c>
    </row>
    <row r="434" spans="1:24" x14ac:dyDescent="0.25">
      <c r="A434">
        <v>466</v>
      </c>
      <c r="B434" t="s">
        <v>381</v>
      </c>
      <c r="C434" t="s">
        <v>2168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1799</v>
      </c>
      <c r="J434" t="s">
        <v>1661</v>
      </c>
      <c r="K434" t="s">
        <v>2169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3">
        <v>21427700000000</v>
      </c>
      <c r="R434">
        <v>78.5</v>
      </c>
      <c r="S434">
        <v>9.6</v>
      </c>
      <c r="T434">
        <v>36.6</v>
      </c>
      <c r="U434">
        <v>328239523</v>
      </c>
      <c r="V434" s="5">
        <f t="shared" si="18"/>
        <v>18078</v>
      </c>
      <c r="W434" s="5">
        <f t="shared" ca="1" si="19"/>
        <v>46116</v>
      </c>
      <c r="X434">
        <f t="shared" ca="1" si="20"/>
        <v>76</v>
      </c>
    </row>
    <row r="435" spans="1:24" x14ac:dyDescent="0.25">
      <c r="A435">
        <v>466</v>
      </c>
      <c r="B435" t="s">
        <v>1805</v>
      </c>
      <c r="C435" t="s">
        <v>2170</v>
      </c>
      <c r="D435" t="s">
        <v>32</v>
      </c>
      <c r="E435" t="s">
        <v>1664</v>
      </c>
      <c r="F435" t="s">
        <v>2012</v>
      </c>
      <c r="G435" t="s">
        <v>1805</v>
      </c>
      <c r="H435" t="b">
        <v>0</v>
      </c>
      <c r="I435" t="s">
        <v>1799</v>
      </c>
      <c r="J435" t="s">
        <v>2171</v>
      </c>
      <c r="K435" t="s">
        <v>1891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3">
        <v>21427700000000</v>
      </c>
      <c r="R435">
        <v>78.5</v>
      </c>
      <c r="S435">
        <v>9.6</v>
      </c>
      <c r="T435">
        <v>36.6</v>
      </c>
      <c r="U435">
        <v>328239523</v>
      </c>
      <c r="V435" s="5">
        <f t="shared" si="18"/>
        <v>20922</v>
      </c>
      <c r="W435" s="5">
        <f t="shared" ca="1" si="19"/>
        <v>46116</v>
      </c>
      <c r="X435">
        <f t="shared" ca="1" si="20"/>
        <v>68</v>
      </c>
    </row>
    <row r="436" spans="1:24" x14ac:dyDescent="0.25">
      <c r="A436">
        <v>466</v>
      </c>
      <c r="B436" t="s">
        <v>38</v>
      </c>
      <c r="C436" t="s">
        <v>1666</v>
      </c>
      <c r="D436" t="s">
        <v>32</v>
      </c>
      <c r="E436" t="s">
        <v>2333</v>
      </c>
      <c r="F436" t="s">
        <v>2445</v>
      </c>
      <c r="G436" t="s">
        <v>38</v>
      </c>
      <c r="H436" t="b">
        <v>1</v>
      </c>
      <c r="I436" t="s">
        <v>1799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3">
        <v>21427700000000</v>
      </c>
      <c r="R436">
        <v>78.5</v>
      </c>
      <c r="S436">
        <v>9.6</v>
      </c>
      <c r="T436">
        <v>36.6</v>
      </c>
      <c r="U436">
        <v>328239523</v>
      </c>
      <c r="V436" s="5">
        <f t="shared" si="18"/>
        <v>33091</v>
      </c>
      <c r="W436" s="5">
        <f t="shared" ca="1" si="19"/>
        <v>46116</v>
      </c>
      <c r="X436">
        <f t="shared" ca="1" si="20"/>
        <v>35</v>
      </c>
    </row>
    <row r="437" spans="1:24" x14ac:dyDescent="0.25">
      <c r="A437">
        <v>466</v>
      </c>
      <c r="B437" t="s">
        <v>38</v>
      </c>
      <c r="C437" t="s">
        <v>1669</v>
      </c>
      <c r="D437" t="s">
        <v>32</v>
      </c>
      <c r="E437" t="s">
        <v>2333</v>
      </c>
      <c r="F437" t="s">
        <v>2446</v>
      </c>
      <c r="G437" t="s">
        <v>38</v>
      </c>
      <c r="H437" t="b">
        <v>1</v>
      </c>
      <c r="I437" t="s">
        <v>1799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3">
        <v>21427700000000</v>
      </c>
      <c r="R437">
        <v>78.5</v>
      </c>
      <c r="S437">
        <v>9.6</v>
      </c>
      <c r="T437">
        <v>36.6</v>
      </c>
      <c r="U437">
        <v>328239523</v>
      </c>
      <c r="V437" s="5">
        <f t="shared" si="18"/>
        <v>32395</v>
      </c>
      <c r="W437" s="5">
        <f t="shared" ca="1" si="19"/>
        <v>46116</v>
      </c>
      <c r="X437">
        <f t="shared" ca="1" si="20"/>
        <v>37</v>
      </c>
    </row>
    <row r="438" spans="1:24" x14ac:dyDescent="0.25">
      <c r="A438">
        <v>466</v>
      </c>
      <c r="B438" t="s">
        <v>250</v>
      </c>
      <c r="C438" t="s">
        <v>2447</v>
      </c>
      <c r="D438" t="s">
        <v>32</v>
      </c>
      <c r="E438" t="s">
        <v>1672</v>
      </c>
      <c r="F438" t="s">
        <v>2172</v>
      </c>
      <c r="G438" t="s">
        <v>250</v>
      </c>
      <c r="H438" t="b">
        <v>1</v>
      </c>
      <c r="I438" t="s">
        <v>1799</v>
      </c>
      <c r="J438" t="s">
        <v>2173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3">
        <v>21427700000000</v>
      </c>
      <c r="R438">
        <v>78.5</v>
      </c>
      <c r="S438">
        <v>9.6</v>
      </c>
      <c r="T438">
        <v>36.6</v>
      </c>
      <c r="U438">
        <v>328239523</v>
      </c>
      <c r="V438" s="5">
        <f t="shared" si="18"/>
        <v>10693</v>
      </c>
      <c r="W438" s="5">
        <f t="shared" ca="1" si="19"/>
        <v>46116</v>
      </c>
      <c r="X438">
        <f t="shared" ca="1" si="20"/>
        <v>96</v>
      </c>
    </row>
    <row r="439" spans="1:24" x14ac:dyDescent="0.25">
      <c r="A439">
        <v>466</v>
      </c>
      <c r="B439" t="s">
        <v>1800</v>
      </c>
      <c r="C439" t="s">
        <v>2448</v>
      </c>
      <c r="D439" t="s">
        <v>680</v>
      </c>
      <c r="E439" t="s">
        <v>2174</v>
      </c>
      <c r="F439" t="s">
        <v>1906</v>
      </c>
      <c r="G439" t="s">
        <v>1800</v>
      </c>
      <c r="H439" t="b">
        <v>0</v>
      </c>
      <c r="I439" t="s">
        <v>1799</v>
      </c>
      <c r="J439" t="s">
        <v>2449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3">
        <v>2001244392042</v>
      </c>
      <c r="R439">
        <v>82.9</v>
      </c>
      <c r="S439">
        <v>24.3</v>
      </c>
      <c r="T439">
        <v>59.1</v>
      </c>
      <c r="U439">
        <v>60297396</v>
      </c>
      <c r="V439" s="5">
        <f t="shared" si="18"/>
        <v>16579</v>
      </c>
      <c r="W439" s="5">
        <f t="shared" ca="1" si="19"/>
        <v>46116</v>
      </c>
      <c r="X439">
        <f t="shared" ca="1" si="20"/>
        <v>80</v>
      </c>
    </row>
    <row r="440" spans="1:24" x14ac:dyDescent="0.25">
      <c r="A440">
        <v>466</v>
      </c>
      <c r="B440" t="s">
        <v>1800</v>
      </c>
      <c r="C440" t="s">
        <v>2450</v>
      </c>
      <c r="D440" t="s">
        <v>32</v>
      </c>
      <c r="E440" t="s">
        <v>742</v>
      </c>
      <c r="F440" t="s">
        <v>1681</v>
      </c>
      <c r="G440" t="s">
        <v>1800</v>
      </c>
      <c r="H440" t="b">
        <v>0</v>
      </c>
      <c r="I440" t="s">
        <v>1799</v>
      </c>
      <c r="J440" t="s">
        <v>2451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3">
        <v>21427700000000</v>
      </c>
      <c r="R440">
        <v>78.5</v>
      </c>
      <c r="S440">
        <v>9.6</v>
      </c>
      <c r="T440">
        <v>36.6</v>
      </c>
      <c r="U440">
        <v>328239523</v>
      </c>
      <c r="V440" s="5">
        <f t="shared" si="18"/>
        <v>23800</v>
      </c>
      <c r="W440" s="5">
        <f t="shared" ca="1" si="19"/>
        <v>46116</v>
      </c>
      <c r="X440">
        <f t="shared" ca="1" si="20"/>
        <v>61</v>
      </c>
    </row>
    <row r="441" spans="1:24" x14ac:dyDescent="0.25">
      <c r="A441">
        <v>466</v>
      </c>
      <c r="B441" t="s">
        <v>72</v>
      </c>
      <c r="C441" t="s">
        <v>2175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1799</v>
      </c>
      <c r="J441" t="s">
        <v>1611</v>
      </c>
      <c r="K441" t="s">
        <v>1891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3">
        <v>1736425629520</v>
      </c>
      <c r="R441">
        <v>81.900000000000006</v>
      </c>
      <c r="S441">
        <v>12.8</v>
      </c>
      <c r="T441">
        <v>24.5</v>
      </c>
      <c r="U441">
        <v>36991981</v>
      </c>
      <c r="V441" s="5">
        <f t="shared" si="18"/>
        <v>10307</v>
      </c>
      <c r="W441" s="5">
        <f t="shared" ca="1" si="19"/>
        <v>46116</v>
      </c>
      <c r="X441">
        <f t="shared" ca="1" si="20"/>
        <v>98</v>
      </c>
    </row>
    <row r="442" spans="1:24" x14ac:dyDescent="0.25">
      <c r="A442">
        <v>466</v>
      </c>
      <c r="B442" t="s">
        <v>250</v>
      </c>
      <c r="C442" t="s">
        <v>2452</v>
      </c>
      <c r="D442" t="s">
        <v>105</v>
      </c>
      <c r="E442" t="s">
        <v>655</v>
      </c>
      <c r="F442" t="s">
        <v>1890</v>
      </c>
      <c r="G442" t="s">
        <v>250</v>
      </c>
      <c r="H442" t="b">
        <v>1</v>
      </c>
      <c r="I442" t="s">
        <v>1799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3">
        <v>19910000000000</v>
      </c>
      <c r="R442">
        <v>77</v>
      </c>
      <c r="S442">
        <v>9.4</v>
      </c>
      <c r="T442">
        <v>59.2</v>
      </c>
      <c r="U442">
        <v>1397715000</v>
      </c>
      <c r="V442" s="5">
        <f t="shared" si="18"/>
        <v>20149</v>
      </c>
      <c r="W442" s="5">
        <f t="shared" ca="1" si="19"/>
        <v>46116</v>
      </c>
      <c r="X442">
        <f t="shared" ca="1" si="20"/>
        <v>71</v>
      </c>
    </row>
    <row r="443" spans="1:24" x14ac:dyDescent="0.25">
      <c r="A443">
        <v>466</v>
      </c>
      <c r="B443" t="s">
        <v>351</v>
      </c>
      <c r="C443" t="s">
        <v>2453</v>
      </c>
      <c r="D443" t="s">
        <v>1837</v>
      </c>
      <c r="E443" t="s">
        <v>959</v>
      </c>
      <c r="F443" t="s">
        <v>1929</v>
      </c>
      <c r="G443" t="s">
        <v>351</v>
      </c>
      <c r="H443" t="b">
        <v>1</v>
      </c>
      <c r="I443" t="s">
        <v>1799</v>
      </c>
      <c r="J443" t="s">
        <v>2176</v>
      </c>
      <c r="K443" t="s">
        <v>2430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3">
        <v>3845630030824</v>
      </c>
      <c r="R443">
        <v>80.900000000000006</v>
      </c>
      <c r="S443">
        <v>11.5</v>
      </c>
      <c r="T443">
        <v>48.8</v>
      </c>
      <c r="U443">
        <v>83132799</v>
      </c>
      <c r="V443" s="5">
        <f t="shared" si="18"/>
        <v>15131</v>
      </c>
      <c r="W443" s="5">
        <f t="shared" ca="1" si="19"/>
        <v>46116</v>
      </c>
      <c r="X443">
        <f t="shared" ca="1" si="20"/>
        <v>84</v>
      </c>
    </row>
    <row r="444" spans="1:24" x14ac:dyDescent="0.25">
      <c r="A444">
        <v>466</v>
      </c>
      <c r="B444" t="s">
        <v>2491</v>
      </c>
      <c r="C444" t="s">
        <v>2177</v>
      </c>
      <c r="D444" t="s">
        <v>1837</v>
      </c>
      <c r="E444" t="s">
        <v>2178</v>
      </c>
      <c r="F444" t="s">
        <v>1929</v>
      </c>
      <c r="G444" t="s">
        <v>2491</v>
      </c>
      <c r="H444" t="b">
        <v>0</v>
      </c>
      <c r="I444" t="s">
        <v>1799</v>
      </c>
      <c r="J444" t="s">
        <v>2179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3">
        <v>3845630030824</v>
      </c>
      <c r="R444">
        <v>80.900000000000006</v>
      </c>
      <c r="S444">
        <v>11.5</v>
      </c>
      <c r="T444">
        <v>48.8</v>
      </c>
      <c r="U444">
        <v>83132799</v>
      </c>
      <c r="V444" s="5">
        <f t="shared" si="18"/>
        <v>23743</v>
      </c>
      <c r="W444" s="5">
        <f t="shared" ca="1" si="19"/>
        <v>46116</v>
      </c>
      <c r="X444">
        <f t="shared" ca="1" si="20"/>
        <v>61</v>
      </c>
    </row>
    <row r="445" spans="1:24" x14ac:dyDescent="0.25">
      <c r="A445">
        <v>466</v>
      </c>
      <c r="B445" t="s">
        <v>250</v>
      </c>
      <c r="C445" t="s">
        <v>2180</v>
      </c>
      <c r="D445" t="s">
        <v>32</v>
      </c>
      <c r="E445" t="s">
        <v>2181</v>
      </c>
      <c r="F445" t="s">
        <v>2490</v>
      </c>
      <c r="G445" t="s">
        <v>250</v>
      </c>
      <c r="H445" t="b">
        <v>1</v>
      </c>
      <c r="I445" t="s">
        <v>1799</v>
      </c>
      <c r="J445" t="s">
        <v>1172</v>
      </c>
      <c r="K445" t="s">
        <v>2182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3">
        <v>21427700000000</v>
      </c>
      <c r="R445">
        <v>78.5</v>
      </c>
      <c r="S445">
        <v>9.6</v>
      </c>
      <c r="T445">
        <v>36.6</v>
      </c>
      <c r="U445">
        <v>328239523</v>
      </c>
      <c r="V445" s="5">
        <f t="shared" si="18"/>
        <v>20688</v>
      </c>
      <c r="W445" s="5">
        <f t="shared" ca="1" si="19"/>
        <v>46116</v>
      </c>
      <c r="X445">
        <f t="shared" ca="1" si="20"/>
        <v>69</v>
      </c>
    </row>
    <row r="446" spans="1:24" x14ac:dyDescent="0.25">
      <c r="A446">
        <v>466</v>
      </c>
      <c r="B446" t="s">
        <v>1805</v>
      </c>
      <c r="C446" t="s">
        <v>1695</v>
      </c>
      <c r="D446" t="s">
        <v>32</v>
      </c>
      <c r="E446" t="s">
        <v>2183</v>
      </c>
      <c r="F446" t="s">
        <v>2012</v>
      </c>
      <c r="G446" t="s">
        <v>1805</v>
      </c>
      <c r="H446" t="b">
        <v>0</v>
      </c>
      <c r="I446" t="s">
        <v>2223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3">
        <v>21427700000000</v>
      </c>
      <c r="R446">
        <v>78.5</v>
      </c>
      <c r="S446">
        <v>9.6</v>
      </c>
      <c r="T446">
        <v>36.6</v>
      </c>
      <c r="U446">
        <v>328239523</v>
      </c>
      <c r="V446" s="5">
        <f t="shared" si="18"/>
        <v>16449</v>
      </c>
      <c r="W446" s="5">
        <f t="shared" ca="1" si="19"/>
        <v>46116</v>
      </c>
      <c r="X446">
        <f t="shared" ca="1" si="20"/>
        <v>81</v>
      </c>
    </row>
    <row r="447" spans="1:24" x14ac:dyDescent="0.25">
      <c r="A447">
        <v>466</v>
      </c>
      <c r="B447" t="s">
        <v>2491</v>
      </c>
      <c r="C447" t="s">
        <v>1699</v>
      </c>
      <c r="D447" t="s">
        <v>32</v>
      </c>
      <c r="E447" t="s">
        <v>61</v>
      </c>
      <c r="F447" t="s">
        <v>2240</v>
      </c>
      <c r="G447" t="s">
        <v>2491</v>
      </c>
      <c r="H447" t="b">
        <v>1</v>
      </c>
      <c r="I447" t="s">
        <v>1799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3">
        <v>21427700000000</v>
      </c>
      <c r="R447">
        <v>78.5</v>
      </c>
      <c r="S447">
        <v>9.6</v>
      </c>
      <c r="T447">
        <v>36.6</v>
      </c>
      <c r="U447">
        <v>328239523</v>
      </c>
      <c r="V447" s="5">
        <f t="shared" si="18"/>
        <v>16306</v>
      </c>
      <c r="W447" s="5">
        <f t="shared" ca="1" si="19"/>
        <v>46116</v>
      </c>
      <c r="X447">
        <f t="shared" ca="1" si="20"/>
        <v>81</v>
      </c>
    </row>
    <row r="448" spans="1:24" x14ac:dyDescent="0.25">
      <c r="A448">
        <v>466</v>
      </c>
      <c r="B448" t="s">
        <v>351</v>
      </c>
      <c r="C448" t="s">
        <v>2454</v>
      </c>
      <c r="D448" t="s">
        <v>680</v>
      </c>
      <c r="E448" t="s">
        <v>1703</v>
      </c>
      <c r="F448" t="s">
        <v>2184</v>
      </c>
      <c r="G448" t="s">
        <v>351</v>
      </c>
      <c r="H448" t="b">
        <v>1</v>
      </c>
      <c r="I448" t="s">
        <v>1799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3">
        <v>2001244392042</v>
      </c>
      <c r="R448">
        <v>82.9</v>
      </c>
      <c r="S448">
        <v>24.3</v>
      </c>
      <c r="T448">
        <v>59.1</v>
      </c>
      <c r="U448">
        <v>60297396</v>
      </c>
      <c r="V448" s="5">
        <f t="shared" si="18"/>
        <v>15785</v>
      </c>
      <c r="W448" s="5">
        <f t="shared" ca="1" si="19"/>
        <v>46116</v>
      </c>
      <c r="X448">
        <f t="shared" ca="1" si="20"/>
        <v>83</v>
      </c>
    </row>
    <row r="449" spans="1:24" x14ac:dyDescent="0.25">
      <c r="A449">
        <v>466</v>
      </c>
      <c r="B449" t="s">
        <v>1805</v>
      </c>
      <c r="C449" t="s">
        <v>2185</v>
      </c>
      <c r="D449" t="s">
        <v>32</v>
      </c>
      <c r="E449" t="s">
        <v>2186</v>
      </c>
      <c r="F449" t="s">
        <v>2012</v>
      </c>
      <c r="G449" t="s">
        <v>1805</v>
      </c>
      <c r="H449" t="b">
        <v>0</v>
      </c>
      <c r="I449" t="s">
        <v>2223</v>
      </c>
      <c r="J449" t="s">
        <v>1709</v>
      </c>
      <c r="K449" t="s">
        <v>2187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3">
        <v>21427700000000</v>
      </c>
      <c r="R449">
        <v>78.5</v>
      </c>
      <c r="S449">
        <v>9.6</v>
      </c>
      <c r="T449">
        <v>36.6</v>
      </c>
      <c r="U449">
        <v>328239523</v>
      </c>
      <c r="V449" s="5">
        <f t="shared" si="18"/>
        <v>15446</v>
      </c>
      <c r="W449" s="5">
        <f t="shared" ca="1" si="19"/>
        <v>46116</v>
      </c>
      <c r="X449">
        <f t="shared" ca="1" si="20"/>
        <v>83</v>
      </c>
    </row>
    <row r="450" spans="1:24" x14ac:dyDescent="0.25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2311</v>
      </c>
      <c r="G450" t="s">
        <v>38</v>
      </c>
      <c r="H450" t="b">
        <v>1</v>
      </c>
      <c r="I450" t="s">
        <v>1799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3">
        <v>1392680589329</v>
      </c>
      <c r="R450">
        <v>82.7</v>
      </c>
      <c r="S450">
        <v>23</v>
      </c>
      <c r="T450">
        <v>47.4</v>
      </c>
      <c r="U450">
        <v>25766605</v>
      </c>
      <c r="V450" s="5">
        <f t="shared" si="18"/>
        <v>20180</v>
      </c>
      <c r="W450" s="5">
        <f t="shared" ca="1" si="19"/>
        <v>46116</v>
      </c>
      <c r="X450">
        <f t="shared" ca="1" si="20"/>
        <v>71</v>
      </c>
    </row>
    <row r="451" spans="1:24" x14ac:dyDescent="0.25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2223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3">
        <v>19910000000000</v>
      </c>
      <c r="R451">
        <v>77</v>
      </c>
      <c r="S451">
        <v>9.4</v>
      </c>
      <c r="T451">
        <v>59.2</v>
      </c>
      <c r="U451">
        <v>1397715000</v>
      </c>
      <c r="V451" s="5">
        <f t="shared" ref="V451:V477" si="21">DATE(M451, N451, O451 )</f>
        <v>24473</v>
      </c>
      <c r="W451" s="5">
        <f t="shared" ref="W451:W476" ca="1" si="22">TODAY()</f>
        <v>46116</v>
      </c>
      <c r="X451">
        <f t="shared" ref="X451:X480" ca="1" si="23">INT(YEARFRAC(V451, W451))</f>
        <v>59</v>
      </c>
    </row>
    <row r="452" spans="1:24" x14ac:dyDescent="0.25">
      <c r="A452">
        <v>486</v>
      </c>
      <c r="B452" t="s">
        <v>21</v>
      </c>
      <c r="C452" t="s">
        <v>1715</v>
      </c>
      <c r="D452" t="s">
        <v>680</v>
      </c>
      <c r="E452" t="s">
        <v>1949</v>
      </c>
      <c r="F452" t="s">
        <v>165</v>
      </c>
      <c r="G452" t="s">
        <v>21</v>
      </c>
      <c r="H452" t="b">
        <v>1</v>
      </c>
      <c r="I452" t="s">
        <v>1799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3">
        <v>2001244392042</v>
      </c>
      <c r="R452">
        <v>82.9</v>
      </c>
      <c r="S452">
        <v>24.3</v>
      </c>
      <c r="T452">
        <v>59.1</v>
      </c>
      <c r="U452">
        <v>60297396</v>
      </c>
      <c r="V452" s="5">
        <f t="shared" si="21"/>
        <v>16803</v>
      </c>
      <c r="W452" s="5">
        <f t="shared" ca="1" si="22"/>
        <v>46116</v>
      </c>
      <c r="X452">
        <f t="shared" ca="1" si="23"/>
        <v>80</v>
      </c>
    </row>
    <row r="453" spans="1:24" x14ac:dyDescent="0.25">
      <c r="A453">
        <v>486</v>
      </c>
      <c r="B453" t="s">
        <v>250</v>
      </c>
      <c r="C453" t="s">
        <v>2455</v>
      </c>
      <c r="D453" t="s">
        <v>74</v>
      </c>
      <c r="E453" t="s">
        <v>1815</v>
      </c>
      <c r="F453" t="s">
        <v>556</v>
      </c>
      <c r="G453" t="s">
        <v>250</v>
      </c>
      <c r="H453" t="b">
        <v>0</v>
      </c>
      <c r="I453" t="s">
        <v>1799</v>
      </c>
      <c r="J453" t="s">
        <v>1719</v>
      </c>
      <c r="K453" t="s">
        <v>2188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3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 s="5">
        <f t="shared" si="21"/>
        <v>15085</v>
      </c>
      <c r="W453" s="5">
        <f t="shared" ca="1" si="22"/>
        <v>46116</v>
      </c>
      <c r="X453">
        <f t="shared" ca="1" si="23"/>
        <v>84</v>
      </c>
    </row>
    <row r="454" spans="1:24" x14ac:dyDescent="0.25">
      <c r="A454">
        <v>486</v>
      </c>
      <c r="B454" t="s">
        <v>2491</v>
      </c>
      <c r="C454" t="s">
        <v>2189</v>
      </c>
      <c r="D454" t="s">
        <v>32</v>
      </c>
      <c r="E454" t="s">
        <v>2456</v>
      </c>
      <c r="F454" t="s">
        <v>2190</v>
      </c>
      <c r="G454" t="s">
        <v>2491</v>
      </c>
      <c r="H454" t="b">
        <v>0</v>
      </c>
      <c r="I454" t="s">
        <v>1799</v>
      </c>
      <c r="J454" t="s">
        <v>1724</v>
      </c>
      <c r="K454" t="s">
        <v>2191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3">
        <v>21427700000000</v>
      </c>
      <c r="R454">
        <v>78.5</v>
      </c>
      <c r="S454">
        <v>9.6</v>
      </c>
      <c r="T454">
        <v>36.6</v>
      </c>
      <c r="U454">
        <v>328239523</v>
      </c>
      <c r="V454" s="5">
        <f t="shared" si="21"/>
        <v>29226</v>
      </c>
      <c r="W454" s="5">
        <f t="shared" ca="1" si="22"/>
        <v>46116</v>
      </c>
      <c r="X454">
        <f t="shared" ca="1" si="23"/>
        <v>46</v>
      </c>
    </row>
    <row r="455" spans="1:24" x14ac:dyDescent="0.25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1799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3">
        <v>372062527489</v>
      </c>
      <c r="R455">
        <v>83.1</v>
      </c>
      <c r="S455">
        <v>13.1</v>
      </c>
      <c r="T455">
        <v>21</v>
      </c>
      <c r="U455">
        <v>5703569</v>
      </c>
      <c r="V455" s="5">
        <f t="shared" si="21"/>
        <v>20135</v>
      </c>
      <c r="W455" s="5">
        <f t="shared" ca="1" si="22"/>
        <v>46116</v>
      </c>
      <c r="X455">
        <f t="shared" ca="1" si="23"/>
        <v>71</v>
      </c>
    </row>
    <row r="456" spans="1:24" x14ac:dyDescent="0.25">
      <c r="A456">
        <v>486</v>
      </c>
      <c r="B456" t="s">
        <v>72</v>
      </c>
      <c r="C456" t="s">
        <v>2192</v>
      </c>
      <c r="D456" t="s">
        <v>105</v>
      </c>
      <c r="E456" t="s">
        <v>1730</v>
      </c>
      <c r="F456" t="s">
        <v>2193</v>
      </c>
      <c r="G456" t="s">
        <v>72</v>
      </c>
      <c r="H456" t="b">
        <v>1</v>
      </c>
      <c r="I456" t="s">
        <v>1799</v>
      </c>
      <c r="J456" t="s">
        <v>2194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3">
        <v>19910000000000</v>
      </c>
      <c r="R456">
        <v>77</v>
      </c>
      <c r="S456">
        <v>9.4</v>
      </c>
      <c r="T456">
        <v>59.2</v>
      </c>
      <c r="U456">
        <v>1397715000</v>
      </c>
      <c r="V456" s="5">
        <f t="shared" si="21"/>
        <v>23743</v>
      </c>
      <c r="W456" s="5">
        <f t="shared" ca="1" si="22"/>
        <v>46116</v>
      </c>
      <c r="X456">
        <f t="shared" ca="1" si="23"/>
        <v>61</v>
      </c>
    </row>
    <row r="457" spans="1:24" x14ac:dyDescent="0.25">
      <c r="A457">
        <v>486</v>
      </c>
      <c r="B457" t="s">
        <v>250</v>
      </c>
      <c r="C457" t="s">
        <v>2195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1799</v>
      </c>
      <c r="J457" t="s">
        <v>1737</v>
      </c>
      <c r="K457" t="s">
        <v>1809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3">
        <v>703082435360</v>
      </c>
      <c r="R457">
        <v>83.6</v>
      </c>
      <c r="S457">
        <v>10.1</v>
      </c>
      <c r="T457">
        <v>28.8</v>
      </c>
      <c r="U457">
        <v>8574832</v>
      </c>
      <c r="V457" s="5">
        <f t="shared" si="21"/>
        <v>16838</v>
      </c>
      <c r="W457" s="5">
        <f t="shared" ca="1" si="22"/>
        <v>46116</v>
      </c>
      <c r="X457">
        <f t="shared" ca="1" si="23"/>
        <v>80</v>
      </c>
    </row>
    <row r="458" spans="1:24" x14ac:dyDescent="0.25">
      <c r="A458">
        <v>486</v>
      </c>
      <c r="B458" t="s">
        <v>21</v>
      </c>
      <c r="C458" t="s">
        <v>2196</v>
      </c>
      <c r="D458" t="s">
        <v>680</v>
      </c>
      <c r="E458" t="s">
        <v>1949</v>
      </c>
      <c r="F458" t="s">
        <v>165</v>
      </c>
      <c r="G458" t="s">
        <v>21</v>
      </c>
      <c r="H458" t="b">
        <v>0</v>
      </c>
      <c r="I458" t="s">
        <v>2223</v>
      </c>
      <c r="J458" t="s">
        <v>1739</v>
      </c>
      <c r="K458" t="s">
        <v>2197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3">
        <v>2001244392042</v>
      </c>
      <c r="R458">
        <v>82.9</v>
      </c>
      <c r="S458">
        <v>24.3</v>
      </c>
      <c r="T458">
        <v>59.1</v>
      </c>
      <c r="U458">
        <v>60297396</v>
      </c>
      <c r="V458" s="5">
        <f t="shared" si="21"/>
        <v>18028</v>
      </c>
      <c r="W458" s="5">
        <f t="shared" ca="1" si="22"/>
        <v>46116</v>
      </c>
      <c r="X458">
        <f t="shared" ca="1" si="23"/>
        <v>76</v>
      </c>
    </row>
    <row r="459" spans="1:24" x14ac:dyDescent="0.25">
      <c r="A459">
        <v>486</v>
      </c>
      <c r="B459" t="s">
        <v>21</v>
      </c>
      <c r="C459" t="s">
        <v>2457</v>
      </c>
      <c r="D459" t="s">
        <v>1837</v>
      </c>
      <c r="E459" t="s">
        <v>1742</v>
      </c>
      <c r="F459" t="s">
        <v>2198</v>
      </c>
      <c r="G459" t="s">
        <v>21</v>
      </c>
      <c r="H459" t="b">
        <v>0</v>
      </c>
      <c r="I459" t="s">
        <v>1799</v>
      </c>
      <c r="J459" t="s">
        <v>2199</v>
      </c>
      <c r="K459" t="s">
        <v>2430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3">
        <v>3845630030824</v>
      </c>
      <c r="R459">
        <v>80.900000000000006</v>
      </c>
      <c r="S459">
        <v>11.5</v>
      </c>
      <c r="T459">
        <v>48.8</v>
      </c>
      <c r="U459">
        <v>83132799</v>
      </c>
      <c r="V459" s="5">
        <f t="shared" si="21"/>
        <v>19271</v>
      </c>
      <c r="W459" s="5">
        <f t="shared" ca="1" si="22"/>
        <v>46116</v>
      </c>
      <c r="X459">
        <f t="shared" ca="1" si="23"/>
        <v>73</v>
      </c>
    </row>
    <row r="460" spans="1:24" x14ac:dyDescent="0.25">
      <c r="A460">
        <v>486</v>
      </c>
      <c r="B460" t="s">
        <v>21</v>
      </c>
      <c r="C460" t="s">
        <v>2200</v>
      </c>
      <c r="D460" t="s">
        <v>1837</v>
      </c>
      <c r="E460" t="s">
        <v>2110</v>
      </c>
      <c r="F460" t="s">
        <v>2198</v>
      </c>
      <c r="G460" t="s">
        <v>21</v>
      </c>
      <c r="H460" t="b">
        <v>0</v>
      </c>
      <c r="I460" t="s">
        <v>1799</v>
      </c>
      <c r="J460" t="s">
        <v>2201</v>
      </c>
      <c r="K460" t="s">
        <v>2202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3">
        <v>3845630030824</v>
      </c>
      <c r="R460">
        <v>80.900000000000006</v>
      </c>
      <c r="S460">
        <v>11.5</v>
      </c>
      <c r="T460">
        <v>48.8</v>
      </c>
      <c r="U460">
        <v>83132799</v>
      </c>
      <c r="V460" s="5">
        <f t="shared" si="21"/>
        <v>23831</v>
      </c>
      <c r="W460" s="5">
        <f t="shared" ca="1" si="22"/>
        <v>46116</v>
      </c>
      <c r="X460">
        <f t="shared" ca="1" si="23"/>
        <v>61</v>
      </c>
    </row>
    <row r="461" spans="1:24" x14ac:dyDescent="0.25">
      <c r="A461">
        <v>486</v>
      </c>
      <c r="B461" t="s">
        <v>21</v>
      </c>
      <c r="C461" t="s">
        <v>2458</v>
      </c>
      <c r="D461" t="s">
        <v>208</v>
      </c>
      <c r="E461" t="s">
        <v>1081</v>
      </c>
      <c r="F461" t="s">
        <v>2198</v>
      </c>
      <c r="G461" t="s">
        <v>21</v>
      </c>
      <c r="H461" t="b">
        <v>0</v>
      </c>
      <c r="I461" t="s">
        <v>1799</v>
      </c>
      <c r="J461" t="s">
        <v>2201</v>
      </c>
      <c r="K461" t="s">
        <v>2259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3">
        <v>446314739528</v>
      </c>
      <c r="R461">
        <v>81.599999999999994</v>
      </c>
      <c r="S461">
        <v>25.4</v>
      </c>
      <c r="T461">
        <v>51.4</v>
      </c>
      <c r="U461">
        <v>8877067</v>
      </c>
      <c r="V461" s="5">
        <f t="shared" si="21"/>
        <v>23205</v>
      </c>
      <c r="W461" s="5">
        <f t="shared" ca="1" si="22"/>
        <v>46116</v>
      </c>
      <c r="X461">
        <f t="shared" ca="1" si="23"/>
        <v>62</v>
      </c>
    </row>
    <row r="462" spans="1:24" x14ac:dyDescent="0.25">
      <c r="A462">
        <v>486</v>
      </c>
      <c r="B462" t="s">
        <v>21</v>
      </c>
      <c r="C462" t="s">
        <v>2203</v>
      </c>
      <c r="D462" t="s">
        <v>208</v>
      </c>
      <c r="E462" t="s">
        <v>1081</v>
      </c>
      <c r="F462" t="s">
        <v>2198</v>
      </c>
      <c r="G462" t="s">
        <v>21</v>
      </c>
      <c r="H462" t="b">
        <v>0</v>
      </c>
      <c r="I462" t="s">
        <v>2223</v>
      </c>
      <c r="J462" t="s">
        <v>2204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3">
        <v>446314739528</v>
      </c>
      <c r="R462">
        <v>81.599999999999994</v>
      </c>
      <c r="S462">
        <v>25.4</v>
      </c>
      <c r="T462">
        <v>51.4</v>
      </c>
      <c r="U462">
        <v>8877067</v>
      </c>
      <c r="V462" s="5">
        <f t="shared" si="21"/>
        <v>18909</v>
      </c>
      <c r="W462" s="5">
        <f t="shared" ca="1" si="22"/>
        <v>46116</v>
      </c>
      <c r="X462">
        <f t="shared" ca="1" si="23"/>
        <v>74</v>
      </c>
    </row>
    <row r="463" spans="1:24" x14ac:dyDescent="0.25">
      <c r="A463">
        <v>497</v>
      </c>
      <c r="B463" t="s">
        <v>2491</v>
      </c>
      <c r="C463" t="s">
        <v>1752</v>
      </c>
      <c r="D463" t="s">
        <v>32</v>
      </c>
      <c r="E463" t="s">
        <v>1581</v>
      </c>
      <c r="F463" t="s">
        <v>2493</v>
      </c>
      <c r="G463" t="s">
        <v>2491</v>
      </c>
      <c r="H463" t="b">
        <v>1</v>
      </c>
      <c r="I463" t="s">
        <v>1799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3">
        <v>21427700000000</v>
      </c>
      <c r="R463">
        <v>78.5</v>
      </c>
      <c r="S463">
        <v>9.6</v>
      </c>
      <c r="T463">
        <v>36.6</v>
      </c>
      <c r="U463">
        <v>328239523</v>
      </c>
      <c r="V463" s="5">
        <f t="shared" si="21"/>
        <v>26927</v>
      </c>
      <c r="W463" s="5">
        <f t="shared" ca="1" si="22"/>
        <v>46116</v>
      </c>
      <c r="X463">
        <f t="shared" ca="1" si="23"/>
        <v>52</v>
      </c>
    </row>
    <row r="464" spans="1:24" x14ac:dyDescent="0.25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1799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3">
        <v>21427700000000</v>
      </c>
      <c r="R464">
        <v>78.5</v>
      </c>
      <c r="S464">
        <v>9.6</v>
      </c>
      <c r="T464">
        <v>36.6</v>
      </c>
      <c r="U464">
        <v>328239523</v>
      </c>
      <c r="V464" s="5">
        <f t="shared" si="21"/>
        <v>21557</v>
      </c>
      <c r="W464" s="5">
        <f t="shared" ca="1" si="22"/>
        <v>46116</v>
      </c>
      <c r="X464">
        <f t="shared" ca="1" si="23"/>
        <v>67</v>
      </c>
    </row>
    <row r="465" spans="1:24" x14ac:dyDescent="0.25">
      <c r="A465">
        <v>497</v>
      </c>
      <c r="B465" t="s">
        <v>250</v>
      </c>
      <c r="C465" t="s">
        <v>2205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1799</v>
      </c>
      <c r="J465" t="s">
        <v>2206</v>
      </c>
      <c r="K465" t="s">
        <v>2207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3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 s="5">
        <f t="shared" si="21"/>
        <v>22915</v>
      </c>
      <c r="W465" s="5">
        <f t="shared" ca="1" si="22"/>
        <v>46116</v>
      </c>
      <c r="X465">
        <f t="shared" ca="1" si="23"/>
        <v>63</v>
      </c>
    </row>
    <row r="466" spans="1:24" x14ac:dyDescent="0.25">
      <c r="A466">
        <v>497</v>
      </c>
      <c r="B466" t="s">
        <v>2491</v>
      </c>
      <c r="C466" t="s">
        <v>1764</v>
      </c>
      <c r="D466" t="s">
        <v>32</v>
      </c>
      <c r="E466" t="s">
        <v>1339</v>
      </c>
      <c r="F466" t="s">
        <v>2266</v>
      </c>
      <c r="G466" t="s">
        <v>2491</v>
      </c>
      <c r="H466" t="b">
        <v>0</v>
      </c>
      <c r="I466" t="s">
        <v>2223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3">
        <v>21427700000000</v>
      </c>
      <c r="R466">
        <v>78.5</v>
      </c>
      <c r="S466">
        <v>9.6</v>
      </c>
      <c r="T466">
        <v>36.6</v>
      </c>
      <c r="U466">
        <v>328239523</v>
      </c>
      <c r="V466" s="5">
        <f t="shared" si="21"/>
        <v>23138</v>
      </c>
      <c r="W466" s="5">
        <f t="shared" ca="1" si="22"/>
        <v>46116</v>
      </c>
      <c r="X466">
        <f t="shared" ca="1" si="23"/>
        <v>62</v>
      </c>
    </row>
    <row r="467" spans="1:24" x14ac:dyDescent="0.25">
      <c r="A467">
        <v>497</v>
      </c>
      <c r="B467" t="s">
        <v>2491</v>
      </c>
      <c r="C467" t="s">
        <v>1765</v>
      </c>
      <c r="D467" t="s">
        <v>32</v>
      </c>
      <c r="E467" t="s">
        <v>503</v>
      </c>
      <c r="F467" t="s">
        <v>922</v>
      </c>
      <c r="G467" t="s">
        <v>2491</v>
      </c>
      <c r="H467" t="b">
        <v>1</v>
      </c>
      <c r="I467" t="s">
        <v>1799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3">
        <v>21427700000000</v>
      </c>
      <c r="R467">
        <v>78.5</v>
      </c>
      <c r="S467">
        <v>9.6</v>
      </c>
      <c r="T467">
        <v>36.6</v>
      </c>
      <c r="U467">
        <v>328239523</v>
      </c>
      <c r="V467" s="5">
        <f t="shared" si="21"/>
        <v>21005</v>
      </c>
      <c r="W467" s="5">
        <f t="shared" ca="1" si="22"/>
        <v>46116</v>
      </c>
      <c r="X467">
        <f t="shared" ca="1" si="23"/>
        <v>68</v>
      </c>
    </row>
    <row r="468" spans="1:24" x14ac:dyDescent="0.25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2041</v>
      </c>
      <c r="G468" t="s">
        <v>72</v>
      </c>
      <c r="H468" t="b">
        <v>0</v>
      </c>
      <c r="I468" t="s">
        <v>1799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3">
        <v>1119190780753</v>
      </c>
      <c r="R468">
        <v>71.5</v>
      </c>
      <c r="S468">
        <v>10.199999999999999</v>
      </c>
      <c r="T468">
        <v>30.1</v>
      </c>
      <c r="U468">
        <v>270203917</v>
      </c>
      <c r="V468" s="5">
        <f t="shared" si="21"/>
        <v>16205</v>
      </c>
      <c r="W468" s="5">
        <f t="shared" ca="1" si="22"/>
        <v>46116</v>
      </c>
      <c r="X468">
        <f t="shared" ca="1" si="23"/>
        <v>81</v>
      </c>
    </row>
    <row r="469" spans="1:24" x14ac:dyDescent="0.25">
      <c r="A469">
        <v>497</v>
      </c>
      <c r="B469" t="s">
        <v>2491</v>
      </c>
      <c r="C469" t="s">
        <v>2208</v>
      </c>
      <c r="D469" t="s">
        <v>32</v>
      </c>
      <c r="E469" t="s">
        <v>379</v>
      </c>
      <c r="F469" t="s">
        <v>2167</v>
      </c>
      <c r="G469" t="s">
        <v>2491</v>
      </c>
      <c r="H469" t="b">
        <v>0</v>
      </c>
      <c r="I469" t="s">
        <v>1799</v>
      </c>
      <c r="J469" t="s">
        <v>1644</v>
      </c>
      <c r="K469" t="s">
        <v>1876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3">
        <v>21427700000000</v>
      </c>
      <c r="R469">
        <v>78.5</v>
      </c>
      <c r="S469">
        <v>9.6</v>
      </c>
      <c r="T469">
        <v>36.6</v>
      </c>
      <c r="U469">
        <v>328239523</v>
      </c>
      <c r="V469" s="5">
        <f t="shared" si="21"/>
        <v>18420</v>
      </c>
      <c r="W469" s="5">
        <f t="shared" ca="1" si="22"/>
        <v>46116</v>
      </c>
      <c r="X469">
        <f t="shared" ca="1" si="23"/>
        <v>75</v>
      </c>
    </row>
    <row r="470" spans="1:24" x14ac:dyDescent="0.25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2223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3">
        <v>21427700000000</v>
      </c>
      <c r="R470">
        <v>78.5</v>
      </c>
      <c r="S470">
        <v>9.6</v>
      </c>
      <c r="T470">
        <v>36.6</v>
      </c>
      <c r="U470">
        <v>328239523</v>
      </c>
      <c r="V470" s="5">
        <f t="shared" si="21"/>
        <v>15708</v>
      </c>
      <c r="W470" s="5">
        <f t="shared" ca="1" si="22"/>
        <v>46116</v>
      </c>
      <c r="X470">
        <f t="shared" ca="1" si="23"/>
        <v>83</v>
      </c>
    </row>
    <row r="471" spans="1:24" x14ac:dyDescent="0.25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1799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3">
        <v>21427700000000</v>
      </c>
      <c r="R471">
        <v>78.5</v>
      </c>
      <c r="S471">
        <v>9.6</v>
      </c>
      <c r="T471">
        <v>36.6</v>
      </c>
      <c r="U471">
        <v>328239523</v>
      </c>
      <c r="V471" s="5">
        <f t="shared" si="21"/>
        <v>13508</v>
      </c>
      <c r="W471" s="5">
        <f t="shared" ca="1" si="22"/>
        <v>46116</v>
      </c>
      <c r="X471">
        <f t="shared" ca="1" si="23"/>
        <v>89</v>
      </c>
    </row>
    <row r="472" spans="1:24" x14ac:dyDescent="0.25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1799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3">
        <v>21427700000000</v>
      </c>
      <c r="R472">
        <v>78.5</v>
      </c>
      <c r="S472">
        <v>9.6</v>
      </c>
      <c r="T472">
        <v>36.6</v>
      </c>
      <c r="U472">
        <v>328239523</v>
      </c>
      <c r="V472" s="5">
        <f t="shared" si="21"/>
        <v>16314</v>
      </c>
      <c r="W472" s="5">
        <f t="shared" ca="1" si="22"/>
        <v>46116</v>
      </c>
      <c r="X472">
        <f t="shared" ca="1" si="23"/>
        <v>81</v>
      </c>
    </row>
    <row r="473" spans="1:24" x14ac:dyDescent="0.25">
      <c r="A473">
        <v>497</v>
      </c>
      <c r="B473" t="s">
        <v>2491</v>
      </c>
      <c r="C473" t="s">
        <v>2209</v>
      </c>
      <c r="D473" t="s">
        <v>32</v>
      </c>
      <c r="E473" t="s">
        <v>379</v>
      </c>
      <c r="F473" t="s">
        <v>2494</v>
      </c>
      <c r="G473" t="s">
        <v>2491</v>
      </c>
      <c r="H473" t="b">
        <v>1</v>
      </c>
      <c r="I473" t="s">
        <v>1799</v>
      </c>
      <c r="J473" t="s">
        <v>1782</v>
      </c>
      <c r="K473" t="s">
        <v>1825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3">
        <v>21427700000000</v>
      </c>
      <c r="R473">
        <v>78.5</v>
      </c>
      <c r="S473">
        <v>9.6</v>
      </c>
      <c r="T473">
        <v>36.6</v>
      </c>
      <c r="U473">
        <v>328239523</v>
      </c>
      <c r="V473" s="5">
        <f t="shared" si="21"/>
        <v>22058</v>
      </c>
      <c r="W473" s="5">
        <f t="shared" ca="1" si="22"/>
        <v>46116</v>
      </c>
      <c r="X473">
        <f t="shared" ca="1" si="23"/>
        <v>65</v>
      </c>
    </row>
    <row r="474" spans="1:24" x14ac:dyDescent="0.25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2364</v>
      </c>
      <c r="G474" t="s">
        <v>250</v>
      </c>
      <c r="H474" t="b">
        <v>1</v>
      </c>
      <c r="I474" t="s">
        <v>1799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3">
        <v>21427700000000</v>
      </c>
      <c r="R474">
        <v>78.5</v>
      </c>
      <c r="S474">
        <v>9.6</v>
      </c>
      <c r="T474">
        <v>36.6</v>
      </c>
      <c r="U474">
        <v>328239523</v>
      </c>
      <c r="V474" s="5">
        <f t="shared" si="21"/>
        <v>15115</v>
      </c>
      <c r="W474" s="5">
        <f t="shared" ca="1" si="22"/>
        <v>46116</v>
      </c>
      <c r="X474">
        <f t="shared" ca="1" si="23"/>
        <v>84</v>
      </c>
    </row>
    <row r="475" spans="1:24" x14ac:dyDescent="0.25">
      <c r="A475">
        <v>497</v>
      </c>
      <c r="B475" t="s">
        <v>103</v>
      </c>
      <c r="C475" t="s">
        <v>2459</v>
      </c>
      <c r="D475" t="s">
        <v>1837</v>
      </c>
      <c r="E475" t="s">
        <v>1788</v>
      </c>
      <c r="F475" t="s">
        <v>1789</v>
      </c>
      <c r="G475" t="s">
        <v>103</v>
      </c>
      <c r="H475" t="b">
        <v>1</v>
      </c>
      <c r="I475" t="s">
        <v>1799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3">
        <v>3845630030824</v>
      </c>
      <c r="R475">
        <v>80.900000000000006</v>
      </c>
      <c r="S475">
        <v>11.5</v>
      </c>
      <c r="T475">
        <v>48.8</v>
      </c>
      <c r="U475">
        <v>83132799</v>
      </c>
      <c r="V475" s="5">
        <f t="shared" si="21"/>
        <v>16590</v>
      </c>
      <c r="W475" s="5">
        <f t="shared" ca="1" si="22"/>
        <v>46116</v>
      </c>
      <c r="X475">
        <f t="shared" ca="1" si="23"/>
        <v>80</v>
      </c>
    </row>
    <row r="476" spans="1:24" x14ac:dyDescent="0.25">
      <c r="A476">
        <v>497</v>
      </c>
      <c r="B476" t="s">
        <v>21</v>
      </c>
      <c r="C476" t="s">
        <v>2460</v>
      </c>
      <c r="D476" t="s">
        <v>1877</v>
      </c>
      <c r="E476" t="s">
        <v>1793</v>
      </c>
      <c r="F476" t="s">
        <v>160</v>
      </c>
      <c r="G476" t="s">
        <v>21</v>
      </c>
      <c r="H476" t="b">
        <v>1</v>
      </c>
      <c r="I476" t="s">
        <v>1799</v>
      </c>
      <c r="J476" t="s">
        <v>2461</v>
      </c>
      <c r="K476" t="s">
        <v>2210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3">
        <v>421142267938</v>
      </c>
      <c r="R476">
        <v>77.8</v>
      </c>
      <c r="S476">
        <v>0.1</v>
      </c>
      <c r="T476">
        <v>15.9</v>
      </c>
      <c r="U476">
        <v>9770529</v>
      </c>
      <c r="V476" s="5">
        <f t="shared" si="21"/>
        <v>20408</v>
      </c>
      <c r="W476" s="5">
        <f t="shared" ca="1" si="22"/>
        <v>46116</v>
      </c>
      <c r="X476">
        <f t="shared" ca="1" si="23"/>
        <v>70</v>
      </c>
    </row>
    <row r="477" spans="1:24" x14ac:dyDescent="0.25">
      <c r="V477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selection sqref="A1:Z15"/>
    </sheetView>
  </sheetViews>
  <sheetFormatPr defaultRowHeight="15.75" x14ac:dyDescent="0.25"/>
  <sheetData>
    <row r="1" spans="1:26" x14ac:dyDescent="0.25">
      <c r="A1" s="8" t="s">
        <v>2465</v>
      </c>
      <c r="B1" s="8"/>
      <c r="C1" s="8" t="s">
        <v>12</v>
      </c>
      <c r="D1" s="8"/>
      <c r="E1" s="8" t="s">
        <v>1797</v>
      </c>
      <c r="F1" s="8"/>
      <c r="G1" s="8" t="s">
        <v>14</v>
      </c>
      <c r="H1" s="8"/>
      <c r="I1" s="8" t="s">
        <v>15</v>
      </c>
      <c r="J1" s="8"/>
      <c r="K1" s="8" t="s">
        <v>16</v>
      </c>
      <c r="L1" s="8"/>
      <c r="M1" s="8" t="s">
        <v>2211</v>
      </c>
      <c r="N1" s="8"/>
      <c r="O1" s="8" t="s">
        <v>18</v>
      </c>
      <c r="P1" s="8"/>
      <c r="Q1" s="8" t="s">
        <v>19</v>
      </c>
      <c r="R1" s="8"/>
      <c r="S1" s="8" t="s">
        <v>20</v>
      </c>
      <c r="T1" s="8"/>
      <c r="U1" s="8" t="s">
        <v>2462</v>
      </c>
      <c r="V1" s="8"/>
      <c r="W1" s="8" t="s">
        <v>2463</v>
      </c>
      <c r="X1" s="8"/>
      <c r="Y1" s="8" t="s">
        <v>2464</v>
      </c>
      <c r="Z1" s="8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2468</v>
      </c>
      <c r="B3" s="6">
        <v>14821.894736842105</v>
      </c>
      <c r="C3" s="6" t="s">
        <v>2468</v>
      </c>
      <c r="D3" s="6">
        <v>1955.1073684210526</v>
      </c>
      <c r="E3" s="6" t="s">
        <v>2468</v>
      </c>
      <c r="F3" s="6">
        <v>5.8863157894736844</v>
      </c>
      <c r="G3" s="6" t="s">
        <v>2468</v>
      </c>
      <c r="H3" s="6">
        <v>13.063157894736841</v>
      </c>
      <c r="I3" s="6" t="s">
        <v>2468</v>
      </c>
      <c r="J3" s="6">
        <v>124.63644210526323</v>
      </c>
      <c r="K3" s="6" t="s">
        <v>2468</v>
      </c>
      <c r="L3" s="6">
        <v>12426195815316.264</v>
      </c>
      <c r="M3" s="6" t="s">
        <v>2468</v>
      </c>
      <c r="N3" s="6">
        <v>78.358315789473693</v>
      </c>
      <c r="O3" s="6" t="s">
        <v>2468</v>
      </c>
      <c r="P3" s="6">
        <v>12.719368421052652</v>
      </c>
      <c r="Q3" s="6" t="s">
        <v>2468</v>
      </c>
      <c r="R3" s="6">
        <v>42.056421052631599</v>
      </c>
      <c r="S3" s="6" t="s">
        <v>2468</v>
      </c>
      <c r="T3" s="6">
        <v>429352798.16000003</v>
      </c>
      <c r="U3" s="6" t="s">
        <v>2468</v>
      </c>
      <c r="V3" s="6">
        <v>20289.467368421054</v>
      </c>
      <c r="W3" s="6" t="s">
        <v>2468</v>
      </c>
      <c r="X3" s="6">
        <v>46116</v>
      </c>
      <c r="Y3" s="6" t="s">
        <v>2468</v>
      </c>
      <c r="Z3" s="6">
        <v>70.237894736842108</v>
      </c>
    </row>
    <row r="4" spans="1:26" x14ac:dyDescent="0.25">
      <c r="A4" s="6" t="s">
        <v>2469</v>
      </c>
      <c r="B4" s="6">
        <v>915.05728495730762</v>
      </c>
      <c r="C4" s="6" t="s">
        <v>2469</v>
      </c>
      <c r="D4" s="6">
        <v>0.60964752546853729</v>
      </c>
      <c r="E4" s="6" t="s">
        <v>2469</v>
      </c>
      <c r="F4" s="6">
        <v>0.16318859539374939</v>
      </c>
      <c r="G4" s="6" t="s">
        <v>2469</v>
      </c>
      <c r="H4" s="6">
        <v>0.44731342165609528</v>
      </c>
      <c r="I4" s="6" t="s">
        <v>2469</v>
      </c>
      <c r="J4" s="6">
        <v>1.1309202808822196</v>
      </c>
      <c r="K4" s="6" t="s">
        <v>2469</v>
      </c>
      <c r="L4" s="6">
        <v>441174628973.72961</v>
      </c>
      <c r="M4" s="6" t="s">
        <v>2469</v>
      </c>
      <c r="N4" s="6">
        <v>0.17743420962673864</v>
      </c>
      <c r="O4" s="6" t="s">
        <v>2469</v>
      </c>
      <c r="P4" s="6">
        <v>0.28229872220156371</v>
      </c>
      <c r="Q4" s="6" t="s">
        <v>2469</v>
      </c>
      <c r="R4" s="6">
        <v>0.52035395082224922</v>
      </c>
      <c r="S4" s="6" t="s">
        <v>2469</v>
      </c>
      <c r="T4" s="6">
        <v>22526024.244541854</v>
      </c>
      <c r="U4" s="6" t="s">
        <v>2469</v>
      </c>
      <c r="V4" s="6">
        <v>222.65315903001635</v>
      </c>
      <c r="W4" s="6" t="s">
        <v>2469</v>
      </c>
      <c r="X4" s="6">
        <v>0</v>
      </c>
      <c r="Y4" s="6" t="s">
        <v>2469</v>
      </c>
      <c r="Z4" s="6">
        <v>0.60946024071207905</v>
      </c>
    </row>
    <row r="5" spans="1:26" x14ac:dyDescent="0.25">
      <c r="A5" s="6" t="s">
        <v>2470</v>
      </c>
      <c r="B5" s="6">
        <v>8200</v>
      </c>
      <c r="C5" s="6" t="s">
        <v>2470</v>
      </c>
      <c r="D5" s="6">
        <v>1955</v>
      </c>
      <c r="E5" s="6" t="s">
        <v>2470</v>
      </c>
      <c r="F5" s="6">
        <v>6</v>
      </c>
      <c r="G5" s="6" t="s">
        <v>2470</v>
      </c>
      <c r="H5" s="6">
        <v>12</v>
      </c>
      <c r="I5" s="6" t="s">
        <v>2470</v>
      </c>
      <c r="J5" s="6">
        <v>117.24</v>
      </c>
      <c r="K5" s="6" t="s">
        <v>2470</v>
      </c>
      <c r="L5" s="6">
        <v>19910000000000</v>
      </c>
      <c r="M5" s="6" t="s">
        <v>2470</v>
      </c>
      <c r="N5" s="6">
        <v>78.5</v>
      </c>
      <c r="O5" s="6" t="s">
        <v>2470</v>
      </c>
      <c r="P5" s="6">
        <v>9.6</v>
      </c>
      <c r="Q5" s="6" t="s">
        <v>2470</v>
      </c>
      <c r="R5" s="6">
        <v>36.6</v>
      </c>
      <c r="S5" s="6" t="s">
        <v>2470</v>
      </c>
      <c r="T5" s="6">
        <v>328239523</v>
      </c>
      <c r="U5" s="6" t="s">
        <v>2470</v>
      </c>
      <c r="V5" s="6">
        <v>20312</v>
      </c>
      <c r="W5" s="6" t="s">
        <v>2470</v>
      </c>
      <c r="X5" s="6">
        <v>46116</v>
      </c>
      <c r="Y5" s="6" t="s">
        <v>2470</v>
      </c>
      <c r="Z5" s="6">
        <v>70</v>
      </c>
    </row>
    <row r="6" spans="1:26" x14ac:dyDescent="0.25">
      <c r="A6" s="6" t="s">
        <v>2471</v>
      </c>
      <c r="B6" s="6">
        <v>6700</v>
      </c>
      <c r="C6" s="6" t="s">
        <v>2471</v>
      </c>
      <c r="D6" s="6">
        <v>1964</v>
      </c>
      <c r="E6" s="6" t="s">
        <v>2471</v>
      </c>
      <c r="F6" s="6">
        <v>1</v>
      </c>
      <c r="G6" s="6" t="s">
        <v>2471</v>
      </c>
      <c r="H6" s="6">
        <v>1</v>
      </c>
      <c r="I6" s="6" t="s">
        <v>2471</v>
      </c>
      <c r="J6" s="6">
        <v>117.24</v>
      </c>
      <c r="K6" s="6" t="s">
        <v>2471</v>
      </c>
      <c r="L6" s="6">
        <v>21427700000000</v>
      </c>
      <c r="M6" s="6" t="s">
        <v>2471</v>
      </c>
      <c r="N6" s="6">
        <v>78.5</v>
      </c>
      <c r="O6" s="6" t="s">
        <v>2471</v>
      </c>
      <c r="P6" s="6">
        <v>9.6</v>
      </c>
      <c r="Q6" s="6" t="s">
        <v>2471</v>
      </c>
      <c r="R6" s="6">
        <v>36.6</v>
      </c>
      <c r="S6" s="6" t="s">
        <v>2471</v>
      </c>
      <c r="T6" s="6">
        <v>328239523</v>
      </c>
      <c r="U6" s="6" t="s">
        <v>2471</v>
      </c>
      <c r="V6" s="6">
        <v>23377</v>
      </c>
      <c r="W6" s="6" t="s">
        <v>2471</v>
      </c>
      <c r="X6" s="6">
        <v>46116</v>
      </c>
      <c r="Y6" s="6" t="s">
        <v>2471</v>
      </c>
      <c r="Z6" s="6">
        <v>61</v>
      </c>
    </row>
    <row r="7" spans="1:26" x14ac:dyDescent="0.25">
      <c r="A7" s="6" t="s">
        <v>2472</v>
      </c>
      <c r="B7" s="6">
        <v>19943.211163398028</v>
      </c>
      <c r="C7" s="6" t="s">
        <v>2472</v>
      </c>
      <c r="D7" s="6">
        <v>13.286959773484966</v>
      </c>
      <c r="E7" s="6" t="s">
        <v>2472</v>
      </c>
      <c r="F7" s="6">
        <v>3.5566129802985036</v>
      </c>
      <c r="G7" s="6" t="s">
        <v>2472</v>
      </c>
      <c r="H7" s="6">
        <v>9.7489700054415884</v>
      </c>
      <c r="I7" s="6" t="s">
        <v>2472</v>
      </c>
      <c r="J7" s="6">
        <v>24.647836087831148</v>
      </c>
      <c r="K7" s="6" t="s">
        <v>2472</v>
      </c>
      <c r="L7" s="6">
        <v>9615178120752.6934</v>
      </c>
      <c r="M7" s="6" t="s">
        <v>2472</v>
      </c>
      <c r="N7" s="6">
        <v>3.8670889444498275</v>
      </c>
      <c r="O7" s="6" t="s">
        <v>2472</v>
      </c>
      <c r="P7" s="6">
        <v>6.1525580098363912</v>
      </c>
      <c r="Q7" s="6" t="s">
        <v>2472</v>
      </c>
      <c r="R7" s="6">
        <v>11.340851432531588</v>
      </c>
      <c r="S7" s="6" t="s">
        <v>2472</v>
      </c>
      <c r="T7" s="6">
        <v>490943316.40852547</v>
      </c>
      <c r="U7" s="6" t="s">
        <v>2472</v>
      </c>
      <c r="V7" s="6">
        <v>4852.6130983596595</v>
      </c>
      <c r="W7" s="6" t="s">
        <v>2472</v>
      </c>
      <c r="X7" s="6">
        <v>0</v>
      </c>
      <c r="Y7" s="6" t="s">
        <v>2472</v>
      </c>
      <c r="Z7" s="6">
        <v>13.282877996849631</v>
      </c>
    </row>
    <row r="8" spans="1:26" x14ac:dyDescent="0.25">
      <c r="A8" s="6" t="s">
        <v>2473</v>
      </c>
      <c r="B8" s="6">
        <v>397731671.50788367</v>
      </c>
      <c r="C8" s="6" t="s">
        <v>2473</v>
      </c>
      <c r="D8" s="6">
        <v>176.54330002220766</v>
      </c>
      <c r="E8" s="6" t="s">
        <v>2473</v>
      </c>
      <c r="F8" s="6">
        <v>12.649495891627803</v>
      </c>
      <c r="G8" s="6" t="s">
        <v>2473</v>
      </c>
      <c r="H8" s="6">
        <v>95.042416166999772</v>
      </c>
      <c r="I8" s="6" t="s">
        <v>2473</v>
      </c>
      <c r="J8" s="6">
        <v>607.51582381259141</v>
      </c>
      <c r="K8" s="6" t="s">
        <v>2473</v>
      </c>
      <c r="L8" s="6">
        <v>9.2451650293801309E+25</v>
      </c>
      <c r="M8" s="6" t="s">
        <v>2473</v>
      </c>
      <c r="N8" s="6">
        <v>14.954376904286082</v>
      </c>
      <c r="O8" s="6" t="s">
        <v>2473</v>
      </c>
      <c r="P8" s="6">
        <v>37.853970064401935</v>
      </c>
      <c r="Q8" s="6" t="s">
        <v>2473</v>
      </c>
      <c r="R8" s="6">
        <v>128.61491121475379</v>
      </c>
      <c r="S8" s="6" t="s">
        <v>2473</v>
      </c>
      <c r="T8" s="6">
        <v>2.4102533992620154E+17</v>
      </c>
      <c r="U8" s="6" t="s">
        <v>2473</v>
      </c>
      <c r="V8" s="6">
        <v>23547853.882371735</v>
      </c>
      <c r="W8" s="6" t="s">
        <v>2473</v>
      </c>
      <c r="X8" s="6">
        <v>0</v>
      </c>
      <c r="Y8" s="6" t="s">
        <v>2473</v>
      </c>
      <c r="Z8" s="6">
        <v>176.43484787919209</v>
      </c>
    </row>
    <row r="9" spans="1:26" x14ac:dyDescent="0.25">
      <c r="A9" s="6" t="s">
        <v>2474</v>
      </c>
      <c r="B9" s="6">
        <v>34.182611944135424</v>
      </c>
      <c r="C9" s="6" t="s">
        <v>2474</v>
      </c>
      <c r="D9" s="6">
        <v>-0.44339202271086986</v>
      </c>
      <c r="E9" s="6" t="s">
        <v>2474</v>
      </c>
      <c r="F9" s="6">
        <v>-1.2948846253259103</v>
      </c>
      <c r="G9" s="6" t="s">
        <v>2474</v>
      </c>
      <c r="H9" s="6">
        <v>-1.2882866459622426</v>
      </c>
      <c r="I9" s="6" t="s">
        <v>2474</v>
      </c>
      <c r="J9" s="6">
        <v>14.969591625825194</v>
      </c>
      <c r="K9" s="6" t="s">
        <v>2474</v>
      </c>
      <c r="L9" s="6">
        <v>-1.9173646589606008</v>
      </c>
      <c r="M9" s="6" t="s">
        <v>2474</v>
      </c>
      <c r="N9" s="6">
        <v>9.4081487353996529</v>
      </c>
      <c r="O9" s="6" t="s">
        <v>2474</v>
      </c>
      <c r="P9" s="6">
        <v>1.3298645975053689</v>
      </c>
      <c r="Q9" s="6" t="s">
        <v>2474</v>
      </c>
      <c r="R9" s="6">
        <v>-0.78535606952345471</v>
      </c>
      <c r="S9" s="6" t="s">
        <v>2474</v>
      </c>
      <c r="T9" s="6">
        <v>5.1729365975950348E-2</v>
      </c>
      <c r="U9" s="6" t="s">
        <v>2474</v>
      </c>
      <c r="V9" s="6">
        <v>-0.43814248526425281</v>
      </c>
      <c r="W9" s="6" t="s">
        <v>2474</v>
      </c>
      <c r="X9" s="6" t="e">
        <v>#DIV/0!</v>
      </c>
      <c r="Y9" s="6" t="s">
        <v>2474</v>
      </c>
      <c r="Z9" s="6">
        <v>-0.4267501425024891</v>
      </c>
    </row>
    <row r="10" spans="1:26" x14ac:dyDescent="0.25">
      <c r="A10" s="6" t="s">
        <v>2475</v>
      </c>
      <c r="B10" s="6">
        <v>5.0265705828228562</v>
      </c>
      <c r="C10" s="6" t="s">
        <v>2475</v>
      </c>
      <c r="D10" s="6">
        <v>0.12249927472149394</v>
      </c>
      <c r="E10" s="6" t="s">
        <v>2475</v>
      </c>
      <c r="F10" s="6">
        <v>6.1012095348729464E-2</v>
      </c>
      <c r="G10" s="6" t="s">
        <v>2475</v>
      </c>
      <c r="H10" s="6">
        <v>0.22457452046808007</v>
      </c>
      <c r="I10" s="6" t="s">
        <v>2475</v>
      </c>
      <c r="J10" s="6">
        <v>3.4668002006083132</v>
      </c>
      <c r="K10" s="6" t="s">
        <v>2475</v>
      </c>
      <c r="L10" s="6">
        <v>-0.22993289038402898</v>
      </c>
      <c r="M10" s="6" t="s">
        <v>2475</v>
      </c>
      <c r="N10" s="6">
        <v>-2.1553095031055305</v>
      </c>
      <c r="O10" s="6" t="s">
        <v>2475</v>
      </c>
      <c r="P10" s="6">
        <v>1.4692122796648146</v>
      </c>
      <c r="Q10" s="6" t="s">
        <v>2475</v>
      </c>
      <c r="R10" s="6">
        <v>0.271850332451748</v>
      </c>
      <c r="S10" s="6" t="s">
        <v>2475</v>
      </c>
      <c r="T10" s="6">
        <v>1.2987475637233723</v>
      </c>
      <c r="U10" s="6" t="s">
        <v>2475</v>
      </c>
      <c r="V10" s="6">
        <v>0.12171718115096897</v>
      </c>
      <c r="W10" s="6" t="s">
        <v>2475</v>
      </c>
      <c r="X10" s="6" t="e">
        <v>#DIV/0!</v>
      </c>
      <c r="Y10" s="6" t="s">
        <v>2475</v>
      </c>
      <c r="Z10" s="6">
        <v>-0.12410815390059052</v>
      </c>
    </row>
    <row r="11" spans="1:26" x14ac:dyDescent="0.25">
      <c r="A11" s="6" t="s">
        <v>2476</v>
      </c>
      <c r="B11" s="6">
        <v>205700</v>
      </c>
      <c r="C11" s="6" t="s">
        <v>2476</v>
      </c>
      <c r="D11" s="6">
        <v>66</v>
      </c>
      <c r="E11" s="6" t="s">
        <v>2476</v>
      </c>
      <c r="F11" s="6">
        <v>11</v>
      </c>
      <c r="G11" s="6" t="s">
        <v>2476</v>
      </c>
      <c r="H11" s="6">
        <v>30</v>
      </c>
      <c r="I11" s="6" t="s">
        <v>2476</v>
      </c>
      <c r="J11" s="6">
        <v>189.01999999999998</v>
      </c>
      <c r="K11" s="6" t="s">
        <v>2476</v>
      </c>
      <c r="L11" s="6">
        <v>21273918930882</v>
      </c>
      <c r="M11" s="6" t="s">
        <v>2476</v>
      </c>
      <c r="N11" s="6">
        <v>29.900000000000006</v>
      </c>
      <c r="O11" s="6" t="s">
        <v>2476</v>
      </c>
      <c r="P11" s="6">
        <v>32.299999999999997</v>
      </c>
      <c r="Q11" s="6" t="s">
        <v>2476</v>
      </c>
      <c r="R11" s="6">
        <v>55.300000000000004</v>
      </c>
      <c r="S11" s="6" t="s">
        <v>2476</v>
      </c>
      <c r="T11" s="6">
        <v>1392874000</v>
      </c>
      <c r="U11" s="6" t="s">
        <v>2476</v>
      </c>
      <c r="V11" s="6">
        <v>24037</v>
      </c>
      <c r="W11" s="6" t="s">
        <v>2476</v>
      </c>
      <c r="X11" s="6">
        <v>0</v>
      </c>
      <c r="Y11" s="6" t="s">
        <v>2476</v>
      </c>
      <c r="Z11" s="6">
        <v>66</v>
      </c>
    </row>
    <row r="12" spans="1:26" x14ac:dyDescent="0.25">
      <c r="A12" s="6" t="s">
        <v>2477</v>
      </c>
      <c r="B12" s="6">
        <v>5300</v>
      </c>
      <c r="C12" s="6" t="s">
        <v>2477</v>
      </c>
      <c r="D12" s="6">
        <v>1926</v>
      </c>
      <c r="E12" s="6" t="s">
        <v>2477</v>
      </c>
      <c r="F12" s="6">
        <v>1</v>
      </c>
      <c r="G12" s="6" t="s">
        <v>2477</v>
      </c>
      <c r="H12" s="6">
        <v>1</v>
      </c>
      <c r="I12" s="6" t="s">
        <v>2477</v>
      </c>
      <c r="J12" s="6">
        <v>99.55</v>
      </c>
      <c r="K12" s="6" t="s">
        <v>2477</v>
      </c>
      <c r="L12" s="6">
        <v>153781069118</v>
      </c>
      <c r="M12" s="6" t="s">
        <v>2477</v>
      </c>
      <c r="N12" s="6">
        <v>54.3</v>
      </c>
      <c r="O12" s="6" t="s">
        <v>2477</v>
      </c>
      <c r="P12" s="6">
        <v>0.1</v>
      </c>
      <c r="Q12" s="6" t="s">
        <v>2477</v>
      </c>
      <c r="R12" s="6">
        <v>15.9</v>
      </c>
      <c r="S12" s="6" t="s">
        <v>2477</v>
      </c>
      <c r="T12" s="6">
        <v>4841000</v>
      </c>
      <c r="U12" s="6" t="s">
        <v>2477</v>
      </c>
      <c r="V12" s="6">
        <v>9694</v>
      </c>
      <c r="W12" s="6" t="s">
        <v>2477</v>
      </c>
      <c r="X12" s="6">
        <v>46116</v>
      </c>
      <c r="Y12" s="6" t="s">
        <v>2477</v>
      </c>
      <c r="Z12" s="6">
        <v>33</v>
      </c>
    </row>
    <row r="13" spans="1:26" x14ac:dyDescent="0.25">
      <c r="A13" s="6" t="s">
        <v>2478</v>
      </c>
      <c r="B13" s="6">
        <v>211000</v>
      </c>
      <c r="C13" s="6" t="s">
        <v>2478</v>
      </c>
      <c r="D13" s="6">
        <v>1992</v>
      </c>
      <c r="E13" s="6" t="s">
        <v>2478</v>
      </c>
      <c r="F13" s="6">
        <v>12</v>
      </c>
      <c r="G13" s="6" t="s">
        <v>2478</v>
      </c>
      <c r="H13" s="6">
        <v>31</v>
      </c>
      <c r="I13" s="6" t="s">
        <v>2478</v>
      </c>
      <c r="J13" s="6">
        <v>288.57</v>
      </c>
      <c r="K13" s="6" t="s">
        <v>2478</v>
      </c>
      <c r="L13" s="6">
        <v>21427700000000</v>
      </c>
      <c r="M13" s="6" t="s">
        <v>2478</v>
      </c>
      <c r="N13" s="6">
        <v>84.2</v>
      </c>
      <c r="O13" s="6" t="s">
        <v>2478</v>
      </c>
      <c r="P13" s="6">
        <v>32.4</v>
      </c>
      <c r="Q13" s="6" t="s">
        <v>2478</v>
      </c>
      <c r="R13" s="6">
        <v>71.2</v>
      </c>
      <c r="S13" s="6" t="s">
        <v>2478</v>
      </c>
      <c r="T13" s="6">
        <v>1397715000</v>
      </c>
      <c r="U13" s="6" t="s">
        <v>2478</v>
      </c>
      <c r="V13" s="6">
        <v>33731</v>
      </c>
      <c r="W13" s="6" t="s">
        <v>2478</v>
      </c>
      <c r="X13" s="6">
        <v>46116</v>
      </c>
      <c r="Y13" s="6" t="s">
        <v>2478</v>
      </c>
      <c r="Z13" s="6">
        <v>99</v>
      </c>
    </row>
    <row r="14" spans="1:26" x14ac:dyDescent="0.25">
      <c r="A14" s="6" t="s">
        <v>2479</v>
      </c>
      <c r="B14" s="6">
        <v>7040400</v>
      </c>
      <c r="C14" s="6" t="s">
        <v>2479</v>
      </c>
      <c r="D14" s="6">
        <v>928676</v>
      </c>
      <c r="E14" s="6" t="s">
        <v>2479</v>
      </c>
      <c r="F14" s="6">
        <v>2796</v>
      </c>
      <c r="G14" s="6" t="s">
        <v>2479</v>
      </c>
      <c r="H14" s="6">
        <v>6205</v>
      </c>
      <c r="I14" s="6" t="s">
        <v>2479</v>
      </c>
      <c r="J14" s="6">
        <v>59202.310000000034</v>
      </c>
      <c r="K14" s="6" t="s">
        <v>2479</v>
      </c>
      <c r="L14" s="6">
        <v>5902443012275225</v>
      </c>
      <c r="M14" s="6" t="s">
        <v>2479</v>
      </c>
      <c r="N14" s="6">
        <v>37220.200000000004</v>
      </c>
      <c r="O14" s="6" t="s">
        <v>2479</v>
      </c>
      <c r="P14" s="6">
        <v>6041.7000000000098</v>
      </c>
      <c r="Q14" s="6" t="s">
        <v>2479</v>
      </c>
      <c r="R14" s="6">
        <v>19976.80000000001</v>
      </c>
      <c r="S14" s="6" t="s">
        <v>2479</v>
      </c>
      <c r="T14" s="6">
        <v>203942579126</v>
      </c>
      <c r="U14" s="6" t="s">
        <v>2479</v>
      </c>
      <c r="V14" s="6">
        <v>9637497</v>
      </c>
      <c r="W14" s="6" t="s">
        <v>2479</v>
      </c>
      <c r="X14" s="6">
        <v>21905100</v>
      </c>
      <c r="Y14" s="6" t="s">
        <v>2479</v>
      </c>
      <c r="Z14" s="6">
        <v>33363</v>
      </c>
    </row>
    <row r="15" spans="1:26" ht="16.5" thickBot="1" x14ac:dyDescent="0.3">
      <c r="A15" s="7" t="s">
        <v>2480</v>
      </c>
      <c r="B15" s="7">
        <v>475</v>
      </c>
      <c r="C15" s="7" t="s">
        <v>2480</v>
      </c>
      <c r="D15" s="7">
        <v>475</v>
      </c>
      <c r="E15" s="7" t="s">
        <v>2480</v>
      </c>
      <c r="F15" s="7">
        <v>475</v>
      </c>
      <c r="G15" s="7" t="s">
        <v>2480</v>
      </c>
      <c r="H15" s="7">
        <v>475</v>
      </c>
      <c r="I15" s="7" t="s">
        <v>2480</v>
      </c>
      <c r="J15" s="7">
        <v>475</v>
      </c>
      <c r="K15" s="7" t="s">
        <v>2480</v>
      </c>
      <c r="L15" s="7">
        <v>475</v>
      </c>
      <c r="M15" s="7" t="s">
        <v>2480</v>
      </c>
      <c r="N15" s="7">
        <v>475</v>
      </c>
      <c r="O15" s="7" t="s">
        <v>2480</v>
      </c>
      <c r="P15" s="7">
        <v>475</v>
      </c>
      <c r="Q15" s="7" t="s">
        <v>2480</v>
      </c>
      <c r="R15" s="7">
        <v>475</v>
      </c>
      <c r="S15" s="7" t="s">
        <v>2480</v>
      </c>
      <c r="T15" s="7">
        <v>475</v>
      </c>
      <c r="U15" s="7" t="s">
        <v>2480</v>
      </c>
      <c r="V15" s="7">
        <v>475</v>
      </c>
      <c r="W15" s="7" t="s">
        <v>2480</v>
      </c>
      <c r="X15" s="7">
        <v>475</v>
      </c>
      <c r="Y15" s="7" t="s">
        <v>2480</v>
      </c>
      <c r="Z15" s="7">
        <v>475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6"/>
    </sheetView>
  </sheetViews>
  <sheetFormatPr defaultRowHeight="15.75" x14ac:dyDescent="0.25"/>
  <cols>
    <col min="2" max="2" width="10.25" customWidth="1"/>
    <col min="3" max="3" width="16.25" customWidth="1"/>
    <col min="4" max="4" width="9.5" customWidth="1"/>
    <col min="7" max="7" width="11.125" customWidth="1"/>
    <col min="8" max="8" width="10.75" customWidth="1"/>
    <col min="10" max="10" width="10.75" customWidth="1"/>
    <col min="11" max="11" width="14" customWidth="1"/>
    <col min="12" max="12" width="12.375" customWidth="1"/>
    <col min="13" max="13" width="10.75" customWidth="1"/>
    <col min="14" max="14" width="15.375" customWidth="1"/>
    <col min="15" max="15" width="10.25" customWidth="1"/>
    <col min="16" max="16" width="13" customWidth="1"/>
    <col min="17" max="17" width="13.75" customWidth="1"/>
    <col min="18" max="18" width="29.125" customWidth="1"/>
    <col min="19" max="19" width="28.875" customWidth="1"/>
    <col min="20" max="20" width="22.75" customWidth="1"/>
    <col min="21" max="21" width="20" customWidth="1"/>
  </cols>
  <sheetData>
    <row r="1" spans="1:21" x14ac:dyDescent="0.25">
      <c r="A1" t="s">
        <v>0</v>
      </c>
      <c r="B1" t="s">
        <v>2</v>
      </c>
      <c r="C1" t="s">
        <v>1796</v>
      </c>
      <c r="D1" t="s">
        <v>4</v>
      </c>
      <c r="E1" t="s">
        <v>5</v>
      </c>
      <c r="F1" t="s">
        <v>6</v>
      </c>
      <c r="G1" t="s">
        <v>7</v>
      </c>
      <c r="H1" t="s">
        <v>2467</v>
      </c>
      <c r="I1" t="s">
        <v>9</v>
      </c>
      <c r="J1" t="s">
        <v>10</v>
      </c>
      <c r="K1" t="s">
        <v>2466</v>
      </c>
      <c r="L1" t="s">
        <v>2465</v>
      </c>
      <c r="M1" t="s">
        <v>12</v>
      </c>
      <c r="N1" t="s">
        <v>1797</v>
      </c>
      <c r="O1" t="s">
        <v>14</v>
      </c>
      <c r="P1" t="s">
        <v>15</v>
      </c>
      <c r="Q1" t="s">
        <v>16</v>
      </c>
      <c r="R1" t="s">
        <v>2211</v>
      </c>
      <c r="S1" t="s">
        <v>18</v>
      </c>
      <c r="T1" t="s">
        <v>19</v>
      </c>
      <c r="U1" t="s">
        <v>20</v>
      </c>
    </row>
    <row r="2" spans="1:21" x14ac:dyDescent="0.25">
      <c r="A2">
        <v>466</v>
      </c>
      <c r="B2" t="s">
        <v>2246</v>
      </c>
      <c r="C2" t="s">
        <v>2447</v>
      </c>
      <c r="D2" t="s">
        <v>32</v>
      </c>
      <c r="E2" t="s">
        <v>1672</v>
      </c>
      <c r="F2" t="s">
        <v>2172</v>
      </c>
      <c r="G2" t="s">
        <v>2246</v>
      </c>
      <c r="H2" t="b">
        <v>1</v>
      </c>
      <c r="I2" t="s">
        <v>1799</v>
      </c>
      <c r="J2" t="s">
        <v>2173</v>
      </c>
      <c r="K2" t="s">
        <v>1675</v>
      </c>
      <c r="L2">
        <v>5500</v>
      </c>
      <c r="M2">
        <v>1929</v>
      </c>
      <c r="N2">
        <v>4</v>
      </c>
      <c r="O2">
        <v>10</v>
      </c>
      <c r="P2">
        <v>117.24</v>
      </c>
      <c r="Q2">
        <v>21427700000000</v>
      </c>
      <c r="R2">
        <v>78.5</v>
      </c>
      <c r="S2">
        <v>9.6</v>
      </c>
      <c r="T2">
        <v>36.6</v>
      </c>
      <c r="U2">
        <v>328239523</v>
      </c>
    </row>
    <row r="3" spans="1:21" x14ac:dyDescent="0.25">
      <c r="A3">
        <v>352</v>
      </c>
      <c r="B3" t="s">
        <v>38</v>
      </c>
      <c r="C3" t="s">
        <v>2094</v>
      </c>
      <c r="D3" t="s">
        <v>32</v>
      </c>
      <c r="E3" t="s">
        <v>883</v>
      </c>
      <c r="F3" t="s">
        <v>1346</v>
      </c>
      <c r="G3" t="s">
        <v>38</v>
      </c>
      <c r="H3" t="b">
        <v>1</v>
      </c>
      <c r="I3" t="s">
        <v>1799</v>
      </c>
      <c r="J3" t="s">
        <v>2095</v>
      </c>
      <c r="K3" t="s">
        <v>1348</v>
      </c>
      <c r="L3">
        <v>6800</v>
      </c>
      <c r="M3">
        <v>1929</v>
      </c>
      <c r="N3">
        <v>1</v>
      </c>
      <c r="O3">
        <v>3</v>
      </c>
      <c r="P3">
        <v>117.24</v>
      </c>
      <c r="Q3">
        <v>21427700000000</v>
      </c>
      <c r="R3">
        <v>78.5</v>
      </c>
      <c r="S3">
        <v>9.6</v>
      </c>
      <c r="T3">
        <v>36.6</v>
      </c>
      <c r="U3">
        <v>328239523</v>
      </c>
    </row>
    <row r="4" spans="1:21" x14ac:dyDescent="0.25">
      <c r="A4">
        <v>325</v>
      </c>
      <c r="B4" t="s">
        <v>2217</v>
      </c>
      <c r="C4" t="s">
        <v>1254</v>
      </c>
      <c r="D4" t="s">
        <v>555</v>
      </c>
      <c r="E4" t="s">
        <v>555</v>
      </c>
      <c r="F4" t="s">
        <v>478</v>
      </c>
      <c r="G4" t="s">
        <v>2217</v>
      </c>
      <c r="H4" t="s">
        <v>2215</v>
      </c>
      <c r="I4" t="s">
        <v>1799</v>
      </c>
      <c r="J4" t="s">
        <v>1255</v>
      </c>
      <c r="K4" t="s">
        <v>1256</v>
      </c>
      <c r="L4">
        <v>7100</v>
      </c>
      <c r="M4">
        <v>1929</v>
      </c>
      <c r="N4">
        <v>1</v>
      </c>
      <c r="O4">
        <v>10</v>
      </c>
      <c r="P4">
        <v>114.41</v>
      </c>
      <c r="Q4">
        <v>372062527489</v>
      </c>
      <c r="R4">
        <v>83.1</v>
      </c>
      <c r="S4">
        <v>13.1</v>
      </c>
      <c r="T4">
        <v>21</v>
      </c>
      <c r="U4">
        <v>5703569</v>
      </c>
    </row>
    <row r="5" spans="1:21" x14ac:dyDescent="0.25">
      <c r="A5">
        <v>261</v>
      </c>
      <c r="B5" t="s">
        <v>2212</v>
      </c>
      <c r="C5" t="s">
        <v>2028</v>
      </c>
      <c r="D5" t="s">
        <v>32</v>
      </c>
      <c r="E5" t="s">
        <v>984</v>
      </c>
      <c r="F5" t="s">
        <v>2029</v>
      </c>
      <c r="G5" t="s">
        <v>2212</v>
      </c>
      <c r="H5" t="b">
        <v>1</v>
      </c>
      <c r="I5" t="s">
        <v>1799</v>
      </c>
      <c r="J5" t="s">
        <v>2030</v>
      </c>
      <c r="K5" t="s">
        <v>28</v>
      </c>
      <c r="L5">
        <v>8000</v>
      </c>
      <c r="M5">
        <v>1929</v>
      </c>
      <c r="N5">
        <v>5</v>
      </c>
      <c r="O5">
        <v>12</v>
      </c>
      <c r="P5">
        <v>117.24</v>
      </c>
      <c r="Q5">
        <v>21427700000000</v>
      </c>
      <c r="R5">
        <v>78.5</v>
      </c>
      <c r="S5">
        <v>9.6</v>
      </c>
      <c r="T5">
        <v>36.6</v>
      </c>
      <c r="U5">
        <v>328239523</v>
      </c>
    </row>
    <row r="6" spans="1:21" x14ac:dyDescent="0.25">
      <c r="A6">
        <v>164</v>
      </c>
      <c r="B6" t="s">
        <v>1805</v>
      </c>
      <c r="C6" t="s">
        <v>705</v>
      </c>
      <c r="D6" t="s">
        <v>32</v>
      </c>
      <c r="E6" t="s">
        <v>61</v>
      </c>
      <c r="F6" t="s">
        <v>1829</v>
      </c>
      <c r="G6" t="s">
        <v>1805</v>
      </c>
      <c r="H6" t="s">
        <v>2215</v>
      </c>
      <c r="I6" t="s">
        <v>1799</v>
      </c>
      <c r="J6" t="s">
        <v>706</v>
      </c>
      <c r="K6" t="s">
        <v>467</v>
      </c>
      <c r="L6">
        <v>10700</v>
      </c>
      <c r="M6">
        <v>1929</v>
      </c>
      <c r="N6">
        <v>8</v>
      </c>
      <c r="O6">
        <v>5</v>
      </c>
      <c r="P6">
        <v>117.24</v>
      </c>
      <c r="Q6">
        <v>21427700000000</v>
      </c>
      <c r="R6">
        <v>78.5</v>
      </c>
      <c r="S6">
        <v>9.6</v>
      </c>
      <c r="T6">
        <v>36.6</v>
      </c>
      <c r="U6">
        <v>328239523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3"/>
  <sheetViews>
    <sheetView tabSelected="1" topLeftCell="A89" workbookViewId="0">
      <selection activeCell="A99" sqref="A99"/>
    </sheetView>
  </sheetViews>
  <sheetFormatPr defaultRowHeight="15.75" x14ac:dyDescent="0.25"/>
  <cols>
    <col min="1" max="1" width="32.625" customWidth="1"/>
    <col min="2" max="2" width="17.25" customWidth="1"/>
    <col min="3" max="3" width="35.875" bestFit="1" customWidth="1"/>
  </cols>
  <sheetData>
    <row r="2" spans="1:2" ht="30" x14ac:dyDescent="0.45">
      <c r="A2" s="14" t="s">
        <v>2485</v>
      </c>
    </row>
    <row r="3" spans="1:2" x14ac:dyDescent="0.25">
      <c r="A3" s="9" t="s">
        <v>2481</v>
      </c>
      <c r="B3" t="s">
        <v>2486</v>
      </c>
    </row>
    <row r="4" spans="1:2" x14ac:dyDescent="0.25">
      <c r="A4" s="10" t="s">
        <v>2213</v>
      </c>
      <c r="B4" s="11">
        <v>211000</v>
      </c>
    </row>
    <row r="5" spans="1:2" x14ac:dyDescent="0.25">
      <c r="A5" s="10" t="s">
        <v>1801</v>
      </c>
      <c r="B5" s="11">
        <v>180000</v>
      </c>
    </row>
    <row r="6" spans="1:2" x14ac:dyDescent="0.25">
      <c r="A6" s="10" t="s">
        <v>39</v>
      </c>
      <c r="B6" s="11">
        <v>114000</v>
      </c>
    </row>
    <row r="7" spans="1:2" x14ac:dyDescent="0.25">
      <c r="A7" s="10" t="s">
        <v>44</v>
      </c>
      <c r="B7" s="11">
        <v>107000</v>
      </c>
    </row>
    <row r="8" spans="1:2" x14ac:dyDescent="0.25">
      <c r="A8" s="10" t="s">
        <v>2218</v>
      </c>
      <c r="B8" s="11">
        <v>106000</v>
      </c>
    </row>
    <row r="9" spans="1:2" x14ac:dyDescent="0.25">
      <c r="A9" s="10" t="s">
        <v>55</v>
      </c>
      <c r="B9" s="11">
        <v>104000</v>
      </c>
    </row>
    <row r="10" spans="1:2" x14ac:dyDescent="0.25">
      <c r="A10" s="10" t="s">
        <v>1806</v>
      </c>
      <c r="B10" s="11">
        <v>94500</v>
      </c>
    </row>
    <row r="11" spans="1:2" x14ac:dyDescent="0.25">
      <c r="A11" s="10" t="s">
        <v>2221</v>
      </c>
      <c r="B11" s="11">
        <v>93000</v>
      </c>
    </row>
    <row r="12" spans="1:2" x14ac:dyDescent="0.25">
      <c r="A12" s="10" t="s">
        <v>1814</v>
      </c>
      <c r="B12" s="11">
        <v>83400</v>
      </c>
    </row>
    <row r="13" spans="1:2" x14ac:dyDescent="0.25">
      <c r="A13" s="10" t="s">
        <v>1818</v>
      </c>
      <c r="B13" s="11">
        <v>80700</v>
      </c>
    </row>
    <row r="14" spans="1:2" x14ac:dyDescent="0.25">
      <c r="A14" s="10" t="s">
        <v>2483</v>
      </c>
      <c r="B14" s="11">
        <v>1173600</v>
      </c>
    </row>
    <row r="22" spans="1:2" ht="30" x14ac:dyDescent="0.45">
      <c r="A22" s="12" t="s">
        <v>2487</v>
      </c>
    </row>
    <row r="23" spans="1:2" x14ac:dyDescent="0.25">
      <c r="A23" s="9" t="s">
        <v>2481</v>
      </c>
      <c r="B23" t="s">
        <v>2484</v>
      </c>
    </row>
    <row r="24" spans="1:2" x14ac:dyDescent="0.25">
      <c r="A24" s="10" t="s">
        <v>32</v>
      </c>
      <c r="B24" s="11">
        <v>190</v>
      </c>
    </row>
    <row r="25" spans="1:2" x14ac:dyDescent="0.25">
      <c r="A25" s="10" t="s">
        <v>105</v>
      </c>
      <c r="B25" s="11">
        <v>73</v>
      </c>
    </row>
    <row r="26" spans="1:2" x14ac:dyDescent="0.25">
      <c r="A26" s="10" t="s">
        <v>1853</v>
      </c>
      <c r="B26" s="11">
        <v>22</v>
      </c>
    </row>
    <row r="27" spans="1:2" x14ac:dyDescent="0.25">
      <c r="A27" s="10" t="s">
        <v>1837</v>
      </c>
      <c r="B27" s="11">
        <v>20</v>
      </c>
    </row>
    <row r="28" spans="1:2" x14ac:dyDescent="0.25">
      <c r="A28" s="10" t="s">
        <v>74</v>
      </c>
      <c r="B28" s="11">
        <v>20</v>
      </c>
    </row>
    <row r="29" spans="1:2" x14ac:dyDescent="0.25">
      <c r="A29" s="10" t="s">
        <v>170</v>
      </c>
      <c r="B29" s="11">
        <v>18</v>
      </c>
    </row>
    <row r="30" spans="1:2" x14ac:dyDescent="0.25">
      <c r="A30" s="10" t="s">
        <v>327</v>
      </c>
      <c r="B30" s="11">
        <v>17</v>
      </c>
    </row>
    <row r="31" spans="1:2" x14ac:dyDescent="0.25">
      <c r="A31" s="10" t="s">
        <v>2214</v>
      </c>
      <c r="B31" s="11">
        <v>16</v>
      </c>
    </row>
    <row r="32" spans="1:2" x14ac:dyDescent="0.25">
      <c r="A32" s="10" t="s">
        <v>274</v>
      </c>
      <c r="B32" s="11">
        <v>8</v>
      </c>
    </row>
    <row r="33" spans="1:2" x14ac:dyDescent="0.25">
      <c r="A33" s="10" t="s">
        <v>555</v>
      </c>
      <c r="B33" s="11">
        <v>7</v>
      </c>
    </row>
    <row r="34" spans="1:2" x14ac:dyDescent="0.25">
      <c r="A34" s="10" t="s">
        <v>680</v>
      </c>
      <c r="B34" s="11">
        <v>7</v>
      </c>
    </row>
    <row r="35" spans="1:2" x14ac:dyDescent="0.25">
      <c r="A35" s="10" t="s">
        <v>133</v>
      </c>
      <c r="B35" s="11">
        <v>6</v>
      </c>
    </row>
    <row r="36" spans="1:2" x14ac:dyDescent="0.25">
      <c r="A36" s="10" t="s">
        <v>1877</v>
      </c>
      <c r="B36" s="11">
        <v>6</v>
      </c>
    </row>
    <row r="37" spans="1:2" x14ac:dyDescent="0.25">
      <c r="A37" s="10" t="s">
        <v>2061</v>
      </c>
      <c r="B37" s="11">
        <v>6</v>
      </c>
    </row>
    <row r="38" spans="1:2" x14ac:dyDescent="0.25">
      <c r="A38" s="10" t="s">
        <v>497</v>
      </c>
      <c r="B38" s="11">
        <v>6</v>
      </c>
    </row>
    <row r="39" spans="1:2" x14ac:dyDescent="0.25">
      <c r="A39" s="10" t="s">
        <v>532</v>
      </c>
      <c r="B39" s="11">
        <v>5</v>
      </c>
    </row>
    <row r="40" spans="1:2" x14ac:dyDescent="0.25">
      <c r="A40" s="10" t="s">
        <v>208</v>
      </c>
      <c r="B40" s="11">
        <v>5</v>
      </c>
    </row>
    <row r="41" spans="1:2" x14ac:dyDescent="0.25">
      <c r="A41" s="10" t="s">
        <v>219</v>
      </c>
      <c r="B41" s="11">
        <v>4</v>
      </c>
    </row>
    <row r="42" spans="1:2" x14ac:dyDescent="0.25">
      <c r="A42" s="10" t="s">
        <v>294</v>
      </c>
      <c r="B42" s="11">
        <v>4</v>
      </c>
    </row>
    <row r="43" spans="1:2" x14ac:dyDescent="0.25">
      <c r="A43" s="10" t="s">
        <v>665</v>
      </c>
      <c r="B43" s="11">
        <v>4</v>
      </c>
    </row>
    <row r="44" spans="1:2" x14ac:dyDescent="0.25">
      <c r="A44" s="10" t="s">
        <v>1811</v>
      </c>
      <c r="B44" s="11">
        <v>4</v>
      </c>
    </row>
    <row r="45" spans="1:2" x14ac:dyDescent="0.25">
      <c r="A45" s="10" t="s">
        <v>800</v>
      </c>
      <c r="B45" s="11">
        <v>3</v>
      </c>
    </row>
    <row r="46" spans="1:2" x14ac:dyDescent="0.25">
      <c r="A46" s="10" t="s">
        <v>487</v>
      </c>
      <c r="B46" s="11">
        <v>3</v>
      </c>
    </row>
    <row r="47" spans="1:2" x14ac:dyDescent="0.25">
      <c r="A47" s="10" t="s">
        <v>565</v>
      </c>
      <c r="B47" s="11">
        <v>3</v>
      </c>
    </row>
    <row r="48" spans="1:2" x14ac:dyDescent="0.25">
      <c r="A48" s="10" t="s">
        <v>2304</v>
      </c>
      <c r="B48" s="11">
        <v>2</v>
      </c>
    </row>
    <row r="49" spans="1:2" x14ac:dyDescent="0.25">
      <c r="A49" s="10" t="s">
        <v>967</v>
      </c>
      <c r="B49" s="11">
        <v>2</v>
      </c>
    </row>
    <row r="50" spans="1:2" x14ac:dyDescent="0.25">
      <c r="A50" s="10" t="s">
        <v>93</v>
      </c>
      <c r="B50" s="11">
        <v>2</v>
      </c>
    </row>
    <row r="51" spans="1:2" x14ac:dyDescent="0.25">
      <c r="A51" s="10" t="s">
        <v>1758</v>
      </c>
      <c r="B51" s="11">
        <v>1</v>
      </c>
    </row>
    <row r="52" spans="1:2" x14ac:dyDescent="0.25">
      <c r="A52" s="10" t="s">
        <v>1511</v>
      </c>
      <c r="B52" s="11">
        <v>1</v>
      </c>
    </row>
    <row r="53" spans="1:2" x14ac:dyDescent="0.25">
      <c r="A53" s="10" t="s">
        <v>1960</v>
      </c>
      <c r="B53" s="11">
        <v>1</v>
      </c>
    </row>
    <row r="54" spans="1:2" x14ac:dyDescent="0.25">
      <c r="A54" s="10" t="s">
        <v>1526</v>
      </c>
      <c r="B54" s="11">
        <v>1</v>
      </c>
    </row>
    <row r="55" spans="1:2" x14ac:dyDescent="0.25">
      <c r="A55" s="10" t="s">
        <v>1117</v>
      </c>
      <c r="B55" s="11">
        <v>1</v>
      </c>
    </row>
    <row r="56" spans="1:2" x14ac:dyDescent="0.25">
      <c r="A56" s="10" t="s">
        <v>2122</v>
      </c>
      <c r="B56" s="11">
        <v>1</v>
      </c>
    </row>
    <row r="57" spans="1:2" x14ac:dyDescent="0.25">
      <c r="A57" s="10" t="s">
        <v>1601</v>
      </c>
      <c r="B57" s="11">
        <v>1</v>
      </c>
    </row>
    <row r="58" spans="1:2" x14ac:dyDescent="0.25">
      <c r="A58" s="10" t="s">
        <v>949</v>
      </c>
      <c r="B58" s="11">
        <v>1</v>
      </c>
    </row>
    <row r="59" spans="1:2" x14ac:dyDescent="0.25">
      <c r="A59" s="10" t="s">
        <v>712</v>
      </c>
      <c r="B59" s="11">
        <v>1</v>
      </c>
    </row>
    <row r="60" spans="1:2" x14ac:dyDescent="0.25">
      <c r="A60" s="10" t="s">
        <v>1841</v>
      </c>
      <c r="B60" s="11">
        <v>1</v>
      </c>
    </row>
    <row r="61" spans="1:2" x14ac:dyDescent="0.25">
      <c r="A61" s="10" t="s">
        <v>1175</v>
      </c>
      <c r="B61" s="11">
        <v>1</v>
      </c>
    </row>
    <row r="62" spans="1:2" x14ac:dyDescent="0.25">
      <c r="A62" s="10" t="s">
        <v>341</v>
      </c>
      <c r="B62" s="11">
        <v>1</v>
      </c>
    </row>
    <row r="63" spans="1:2" x14ac:dyDescent="0.25">
      <c r="A63" s="10" t="s">
        <v>2482</v>
      </c>
      <c r="B63" s="11"/>
    </row>
    <row r="64" spans="1:2" x14ac:dyDescent="0.25">
      <c r="A64" s="10" t="s">
        <v>2483</v>
      </c>
      <c r="B64" s="11">
        <v>475</v>
      </c>
    </row>
    <row r="70" spans="1:2" ht="30" x14ac:dyDescent="0.45">
      <c r="A70" s="13" t="s">
        <v>2488</v>
      </c>
    </row>
    <row r="71" spans="1:2" x14ac:dyDescent="0.25">
      <c r="A71" s="9" t="s">
        <v>2481</v>
      </c>
      <c r="B71" t="s">
        <v>2484</v>
      </c>
    </row>
    <row r="72" spans="1:2" x14ac:dyDescent="0.25">
      <c r="A72" s="10" t="s">
        <v>1800</v>
      </c>
      <c r="B72" s="11">
        <v>16</v>
      </c>
    </row>
    <row r="73" spans="1:2" x14ac:dyDescent="0.25">
      <c r="A73" s="10" t="s">
        <v>580</v>
      </c>
      <c r="B73" s="11">
        <v>4</v>
      </c>
    </row>
    <row r="74" spans="1:2" x14ac:dyDescent="0.25">
      <c r="A74" s="10" t="s">
        <v>292</v>
      </c>
      <c r="B74" s="11">
        <v>28</v>
      </c>
    </row>
    <row r="75" spans="1:2" x14ac:dyDescent="0.25">
      <c r="A75" s="10" t="s">
        <v>1848</v>
      </c>
      <c r="B75" s="11">
        <v>5</v>
      </c>
    </row>
    <row r="76" spans="1:2" x14ac:dyDescent="0.25">
      <c r="A76" s="10" t="s">
        <v>351</v>
      </c>
      <c r="B76" s="11">
        <v>27</v>
      </c>
    </row>
    <row r="77" spans="1:2" x14ac:dyDescent="0.25">
      <c r="A77" s="10" t="s">
        <v>168</v>
      </c>
      <c r="B77" s="11">
        <v>10</v>
      </c>
    </row>
    <row r="78" spans="1:2" x14ac:dyDescent="0.25">
      <c r="A78" s="10" t="s">
        <v>1805</v>
      </c>
      <c r="B78" s="11">
        <v>13</v>
      </c>
    </row>
    <row r="79" spans="1:2" x14ac:dyDescent="0.25">
      <c r="A79" s="10" t="s">
        <v>1868</v>
      </c>
      <c r="B79" s="11">
        <v>20</v>
      </c>
    </row>
    <row r="80" spans="1:2" x14ac:dyDescent="0.25">
      <c r="A80" s="10" t="s">
        <v>462</v>
      </c>
      <c r="B80" s="11">
        <v>24</v>
      </c>
    </row>
    <row r="81" spans="1:2" x14ac:dyDescent="0.25">
      <c r="A81" s="10" t="s">
        <v>381</v>
      </c>
      <c r="B81" s="11">
        <v>8</v>
      </c>
    </row>
    <row r="82" spans="1:2" x14ac:dyDescent="0.25">
      <c r="A82" s="10" t="s">
        <v>590</v>
      </c>
      <c r="B82" s="11">
        <v>5</v>
      </c>
    </row>
    <row r="83" spans="1:2" x14ac:dyDescent="0.25">
      <c r="A83" s="10" t="s">
        <v>38</v>
      </c>
      <c r="B83" s="11">
        <v>62</v>
      </c>
    </row>
    <row r="84" spans="1:2" x14ac:dyDescent="0.25">
      <c r="A84" s="10" t="s">
        <v>1810</v>
      </c>
      <c r="B84" s="11">
        <v>4</v>
      </c>
    </row>
    <row r="85" spans="1:2" x14ac:dyDescent="0.25">
      <c r="A85" s="10" t="s">
        <v>2482</v>
      </c>
      <c r="B85" s="11"/>
    </row>
    <row r="86" spans="1:2" x14ac:dyDescent="0.25">
      <c r="A86" s="10" t="s">
        <v>21</v>
      </c>
      <c r="B86" s="11">
        <v>54</v>
      </c>
    </row>
    <row r="87" spans="1:2" x14ac:dyDescent="0.25">
      <c r="A87" s="10" t="s">
        <v>2491</v>
      </c>
      <c r="B87" s="11">
        <v>77</v>
      </c>
    </row>
    <row r="88" spans="1:2" x14ac:dyDescent="0.25">
      <c r="A88" s="10" t="s">
        <v>72</v>
      </c>
      <c r="B88" s="11">
        <v>31</v>
      </c>
    </row>
    <row r="89" spans="1:2" x14ac:dyDescent="0.25">
      <c r="A89" s="10" t="s">
        <v>103</v>
      </c>
      <c r="B89" s="11">
        <v>43</v>
      </c>
    </row>
    <row r="90" spans="1:2" x14ac:dyDescent="0.25">
      <c r="A90" s="10" t="s">
        <v>250</v>
      </c>
      <c r="B90" s="11">
        <v>44</v>
      </c>
    </row>
    <row r="91" spans="1:2" x14ac:dyDescent="0.25">
      <c r="A91" s="10" t="s">
        <v>2483</v>
      </c>
      <c r="B91" s="11">
        <v>475</v>
      </c>
    </row>
    <row r="98" spans="1:2" ht="30" x14ac:dyDescent="0.45">
      <c r="A98" s="14" t="s">
        <v>2489</v>
      </c>
    </row>
    <row r="99" spans="1:2" x14ac:dyDescent="0.25">
      <c r="A99" s="9" t="s">
        <v>2497</v>
      </c>
      <c r="B99" t="s">
        <v>2484</v>
      </c>
    </row>
    <row r="100" spans="1:2" x14ac:dyDescent="0.25">
      <c r="A100" s="10">
        <v>1964</v>
      </c>
      <c r="B100" s="11">
        <v>27</v>
      </c>
    </row>
    <row r="101" spans="1:2" x14ac:dyDescent="0.25">
      <c r="A101" s="10">
        <v>1955</v>
      </c>
      <c r="B101" s="11">
        <v>18</v>
      </c>
    </row>
    <row r="102" spans="1:2" x14ac:dyDescent="0.25">
      <c r="A102" s="10">
        <v>1951</v>
      </c>
      <c r="B102" s="11">
        <v>18</v>
      </c>
    </row>
    <row r="103" spans="1:2" x14ac:dyDescent="0.25">
      <c r="A103" s="10">
        <v>1957</v>
      </c>
      <c r="B103" s="11">
        <v>16</v>
      </c>
    </row>
    <row r="104" spans="1:2" x14ac:dyDescent="0.25">
      <c r="A104" s="10">
        <v>1945</v>
      </c>
      <c r="B104" s="11">
        <v>16</v>
      </c>
    </row>
    <row r="105" spans="1:2" x14ac:dyDescent="0.25">
      <c r="A105" s="10">
        <v>1943</v>
      </c>
      <c r="B105" s="11">
        <v>14</v>
      </c>
    </row>
    <row r="106" spans="1:2" x14ac:dyDescent="0.25">
      <c r="A106" s="10">
        <v>1967</v>
      </c>
      <c r="B106" s="11">
        <v>13</v>
      </c>
    </row>
    <row r="107" spans="1:2" x14ac:dyDescent="0.25">
      <c r="A107" s="10">
        <v>1961</v>
      </c>
      <c r="B107" s="11">
        <v>13</v>
      </c>
    </row>
    <row r="108" spans="1:2" x14ac:dyDescent="0.25">
      <c r="A108" s="10">
        <v>1965</v>
      </c>
      <c r="B108" s="11">
        <v>13</v>
      </c>
    </row>
    <row r="109" spans="1:2" x14ac:dyDescent="0.25">
      <c r="A109" s="10">
        <v>1950</v>
      </c>
      <c r="B109" s="11">
        <v>13</v>
      </c>
    </row>
    <row r="110" spans="1:2" x14ac:dyDescent="0.25">
      <c r="A110" s="10">
        <v>1962</v>
      </c>
      <c r="B110" s="11">
        <v>12</v>
      </c>
    </row>
    <row r="111" spans="1:2" x14ac:dyDescent="0.25">
      <c r="A111" s="10">
        <v>1953</v>
      </c>
      <c r="B111" s="11">
        <v>12</v>
      </c>
    </row>
    <row r="112" spans="1:2" x14ac:dyDescent="0.25">
      <c r="A112" s="10">
        <v>1952</v>
      </c>
      <c r="B112" s="11">
        <v>12</v>
      </c>
    </row>
    <row r="113" spans="1:2" x14ac:dyDescent="0.25">
      <c r="A113" s="10">
        <v>1956</v>
      </c>
      <c r="B113" s="11">
        <v>11</v>
      </c>
    </row>
    <row r="114" spans="1:2" x14ac:dyDescent="0.25">
      <c r="A114" s="10">
        <v>1938</v>
      </c>
      <c r="B114" s="11">
        <v>11</v>
      </c>
    </row>
    <row r="115" spans="1:2" x14ac:dyDescent="0.25">
      <c r="A115" s="10">
        <v>1941</v>
      </c>
      <c r="B115" s="11">
        <v>11</v>
      </c>
    </row>
    <row r="116" spans="1:2" x14ac:dyDescent="0.25">
      <c r="A116" s="10">
        <v>1949</v>
      </c>
      <c r="B116" s="11">
        <v>11</v>
      </c>
    </row>
    <row r="117" spans="1:2" x14ac:dyDescent="0.25">
      <c r="A117" s="10">
        <v>1968</v>
      </c>
      <c r="B117" s="11">
        <v>11</v>
      </c>
    </row>
    <row r="118" spans="1:2" x14ac:dyDescent="0.25">
      <c r="A118" s="10">
        <v>1963</v>
      </c>
      <c r="B118" s="11">
        <v>10</v>
      </c>
    </row>
    <row r="119" spans="1:2" x14ac:dyDescent="0.25">
      <c r="A119" s="10">
        <v>1942</v>
      </c>
      <c r="B119" s="11">
        <v>10</v>
      </c>
    </row>
    <row r="120" spans="1:2" x14ac:dyDescent="0.25">
      <c r="A120" s="10">
        <v>1947</v>
      </c>
      <c r="B120" s="11">
        <v>10</v>
      </c>
    </row>
    <row r="121" spans="1:2" x14ac:dyDescent="0.25">
      <c r="A121" s="10">
        <v>1960</v>
      </c>
      <c r="B121" s="11">
        <v>10</v>
      </c>
    </row>
    <row r="122" spans="1:2" x14ac:dyDescent="0.25">
      <c r="A122" s="10">
        <v>1954</v>
      </c>
      <c r="B122" s="11">
        <v>10</v>
      </c>
    </row>
    <row r="123" spans="1:2" x14ac:dyDescent="0.25">
      <c r="A123" s="10">
        <v>1944</v>
      </c>
      <c r="B123" s="11">
        <v>10</v>
      </c>
    </row>
    <row r="124" spans="1:2" x14ac:dyDescent="0.25">
      <c r="A124" s="10">
        <v>1970</v>
      </c>
      <c r="B124" s="11">
        <v>9</v>
      </c>
    </row>
    <row r="125" spans="1:2" x14ac:dyDescent="0.25">
      <c r="A125" s="10">
        <v>1959</v>
      </c>
      <c r="B125" s="11">
        <v>9</v>
      </c>
    </row>
    <row r="126" spans="1:2" x14ac:dyDescent="0.25">
      <c r="A126" s="10">
        <v>1948</v>
      </c>
      <c r="B126" s="11">
        <v>9</v>
      </c>
    </row>
    <row r="127" spans="1:2" x14ac:dyDescent="0.25">
      <c r="A127" s="10">
        <v>1966</v>
      </c>
      <c r="B127" s="11">
        <v>9</v>
      </c>
    </row>
    <row r="128" spans="1:2" x14ac:dyDescent="0.25">
      <c r="A128" s="10">
        <v>1971</v>
      </c>
      <c r="B128" s="11">
        <v>8</v>
      </c>
    </row>
    <row r="129" spans="1:2" x14ac:dyDescent="0.25">
      <c r="A129" s="10">
        <v>1939</v>
      </c>
      <c r="B129" s="11">
        <v>8</v>
      </c>
    </row>
    <row r="130" spans="1:2" x14ac:dyDescent="0.25">
      <c r="A130" s="10">
        <v>1969</v>
      </c>
      <c r="B130" s="11">
        <v>6</v>
      </c>
    </row>
    <row r="131" spans="1:2" x14ac:dyDescent="0.25">
      <c r="A131" s="10">
        <v>1936</v>
      </c>
      <c r="B131" s="11">
        <v>6</v>
      </c>
    </row>
    <row r="132" spans="1:2" x14ac:dyDescent="0.25">
      <c r="A132" s="10">
        <v>1930</v>
      </c>
      <c r="B132" s="11">
        <v>6</v>
      </c>
    </row>
    <row r="133" spans="1:2" x14ac:dyDescent="0.25">
      <c r="A133" s="10">
        <v>1972</v>
      </c>
      <c r="B133" s="11">
        <v>6</v>
      </c>
    </row>
    <row r="134" spans="1:2" x14ac:dyDescent="0.25">
      <c r="A134" s="10">
        <v>1937</v>
      </c>
      <c r="B134" s="11">
        <v>5</v>
      </c>
    </row>
    <row r="135" spans="1:2" x14ac:dyDescent="0.25">
      <c r="A135" s="10">
        <v>1940</v>
      </c>
      <c r="B135" s="11">
        <v>5</v>
      </c>
    </row>
    <row r="136" spans="1:2" x14ac:dyDescent="0.25">
      <c r="A136" s="10">
        <v>1946</v>
      </c>
      <c r="B136" s="11">
        <v>5</v>
      </c>
    </row>
    <row r="137" spans="1:2" x14ac:dyDescent="0.25">
      <c r="A137" s="10">
        <v>1929</v>
      </c>
      <c r="B137" s="11">
        <v>5</v>
      </c>
    </row>
    <row r="138" spans="1:2" x14ac:dyDescent="0.25">
      <c r="A138" s="10">
        <v>1933</v>
      </c>
      <c r="B138" s="11">
        <v>5</v>
      </c>
    </row>
    <row r="139" spans="1:2" x14ac:dyDescent="0.25">
      <c r="A139" s="10">
        <v>1984</v>
      </c>
      <c r="B139" s="11">
        <v>5</v>
      </c>
    </row>
    <row r="140" spans="1:2" x14ac:dyDescent="0.25">
      <c r="A140" s="10">
        <v>1934</v>
      </c>
      <c r="B140" s="11">
        <v>5</v>
      </c>
    </row>
    <row r="141" spans="1:2" x14ac:dyDescent="0.25">
      <c r="A141" s="10">
        <v>1958</v>
      </c>
      <c r="B141" s="11">
        <v>5</v>
      </c>
    </row>
    <row r="142" spans="1:2" x14ac:dyDescent="0.25">
      <c r="A142" s="10">
        <v>1981</v>
      </c>
      <c r="B142" s="11">
        <v>4</v>
      </c>
    </row>
    <row r="143" spans="1:2" x14ac:dyDescent="0.25">
      <c r="A143" s="10">
        <v>1976</v>
      </c>
      <c r="B143" s="11">
        <v>4</v>
      </c>
    </row>
    <row r="144" spans="1:2" x14ac:dyDescent="0.25">
      <c r="A144" s="10">
        <v>1935</v>
      </c>
      <c r="B144" s="11">
        <v>4</v>
      </c>
    </row>
    <row r="145" spans="1:2" x14ac:dyDescent="0.25">
      <c r="A145" s="10">
        <v>1973</v>
      </c>
      <c r="B145" s="11">
        <v>4</v>
      </c>
    </row>
    <row r="146" spans="1:2" x14ac:dyDescent="0.25">
      <c r="A146" s="10">
        <v>1979</v>
      </c>
      <c r="B146" s="11">
        <v>4</v>
      </c>
    </row>
    <row r="147" spans="1:2" x14ac:dyDescent="0.25">
      <c r="A147" s="10">
        <v>1982</v>
      </c>
      <c r="B147" s="11">
        <v>3</v>
      </c>
    </row>
    <row r="148" spans="1:2" x14ac:dyDescent="0.25">
      <c r="A148" s="10">
        <v>1931</v>
      </c>
      <c r="B148" s="11">
        <v>3</v>
      </c>
    </row>
    <row r="149" spans="1:2" x14ac:dyDescent="0.25">
      <c r="A149" s="10">
        <v>1975</v>
      </c>
      <c r="B149" s="11">
        <v>3</v>
      </c>
    </row>
    <row r="150" spans="1:2" x14ac:dyDescent="0.25">
      <c r="A150" s="10">
        <v>1980</v>
      </c>
      <c r="B150" s="11">
        <v>3</v>
      </c>
    </row>
    <row r="151" spans="1:2" x14ac:dyDescent="0.25">
      <c r="A151" s="10">
        <v>1928</v>
      </c>
      <c r="B151" s="11">
        <v>2</v>
      </c>
    </row>
    <row r="152" spans="1:2" x14ac:dyDescent="0.25">
      <c r="A152" s="10">
        <v>1983</v>
      </c>
      <c r="B152" s="11">
        <v>2</v>
      </c>
    </row>
    <row r="153" spans="1:2" x14ac:dyDescent="0.25">
      <c r="A153" s="10">
        <v>1990</v>
      </c>
      <c r="B153" s="11">
        <v>1</v>
      </c>
    </row>
    <row r="154" spans="1:2" x14ac:dyDescent="0.25">
      <c r="A154" s="10">
        <v>1986</v>
      </c>
      <c r="B154" s="11">
        <v>1</v>
      </c>
    </row>
    <row r="155" spans="1:2" x14ac:dyDescent="0.25">
      <c r="A155" s="10">
        <v>1978</v>
      </c>
      <c r="B155" s="11">
        <v>1</v>
      </c>
    </row>
    <row r="156" spans="1:2" x14ac:dyDescent="0.25">
      <c r="A156" s="10">
        <v>1974</v>
      </c>
      <c r="B156" s="11">
        <v>1</v>
      </c>
    </row>
    <row r="157" spans="1:2" x14ac:dyDescent="0.25">
      <c r="A157" s="10">
        <v>1985</v>
      </c>
      <c r="B157" s="11">
        <v>1</v>
      </c>
    </row>
    <row r="158" spans="1:2" x14ac:dyDescent="0.25">
      <c r="A158" s="10">
        <v>1992</v>
      </c>
      <c r="B158" s="11">
        <v>1</v>
      </c>
    </row>
    <row r="159" spans="1:2" x14ac:dyDescent="0.25">
      <c r="A159" s="10">
        <v>1988</v>
      </c>
      <c r="B159" s="11">
        <v>1</v>
      </c>
    </row>
    <row r="160" spans="1:2" x14ac:dyDescent="0.25">
      <c r="A160" s="10">
        <v>1932</v>
      </c>
      <c r="B160" s="11">
        <v>1</v>
      </c>
    </row>
    <row r="161" spans="1:2" x14ac:dyDescent="0.25">
      <c r="A161" s="10">
        <v>1977</v>
      </c>
      <c r="B161" s="11">
        <v>1</v>
      </c>
    </row>
    <row r="162" spans="1:2" x14ac:dyDescent="0.25">
      <c r="A162" s="10">
        <v>1926</v>
      </c>
      <c r="B162" s="11">
        <v>1</v>
      </c>
    </row>
    <row r="163" spans="1:2" x14ac:dyDescent="0.25">
      <c r="A163" s="10">
        <v>1927</v>
      </c>
      <c r="B163" s="11">
        <v>1</v>
      </c>
    </row>
    <row r="164" spans="1:2" x14ac:dyDescent="0.25">
      <c r="A164" s="10" t="s">
        <v>2482</v>
      </c>
      <c r="B164" s="11"/>
    </row>
    <row r="165" spans="1:2" x14ac:dyDescent="0.25">
      <c r="A165" s="10" t="s">
        <v>2483</v>
      </c>
      <c r="B165" s="11">
        <v>475</v>
      </c>
    </row>
    <row r="171" spans="1:2" ht="30" x14ac:dyDescent="0.45">
      <c r="A171" s="15" t="s">
        <v>2495</v>
      </c>
    </row>
    <row r="172" spans="1:2" x14ac:dyDescent="0.25">
      <c r="A172" s="9" t="s">
        <v>2481</v>
      </c>
      <c r="B172" t="s">
        <v>2496</v>
      </c>
    </row>
    <row r="173" spans="1:2" x14ac:dyDescent="0.25">
      <c r="A173" s="10" t="s">
        <v>274</v>
      </c>
      <c r="B173" s="11">
        <v>82.7</v>
      </c>
    </row>
    <row r="174" spans="1:2" x14ac:dyDescent="0.25">
      <c r="A174" s="10" t="s">
        <v>208</v>
      </c>
      <c r="B174" s="11">
        <v>81.599999999999994</v>
      </c>
    </row>
    <row r="175" spans="1:2" x14ac:dyDescent="0.25">
      <c r="A175" s="10" t="s">
        <v>1841</v>
      </c>
      <c r="B175" s="11">
        <v>81.599999999999994</v>
      </c>
    </row>
    <row r="176" spans="1:2" x14ac:dyDescent="0.25">
      <c r="A176" s="10" t="s">
        <v>133</v>
      </c>
      <c r="B176" s="11">
        <v>81.899999999999991</v>
      </c>
    </row>
    <row r="177" spans="1:2" x14ac:dyDescent="0.25">
      <c r="A177" s="10" t="s">
        <v>341</v>
      </c>
      <c r="B177" s="11">
        <v>80</v>
      </c>
    </row>
    <row r="178" spans="1:2" x14ac:dyDescent="0.25">
      <c r="A178" s="10" t="s">
        <v>2061</v>
      </c>
      <c r="B178" s="11">
        <v>81</v>
      </c>
    </row>
    <row r="179" spans="1:2" x14ac:dyDescent="0.25">
      <c r="A179" s="10" t="s">
        <v>2214</v>
      </c>
      <c r="B179" s="11">
        <v>82.5</v>
      </c>
    </row>
    <row r="180" spans="1:2" x14ac:dyDescent="0.25">
      <c r="A180" s="10" t="s">
        <v>1837</v>
      </c>
      <c r="B180" s="11">
        <v>80.90000000000002</v>
      </c>
    </row>
    <row r="181" spans="1:2" x14ac:dyDescent="0.25">
      <c r="A181" s="10" t="s">
        <v>665</v>
      </c>
      <c r="B181" s="11">
        <v>82.8</v>
      </c>
    </row>
    <row r="182" spans="1:2" x14ac:dyDescent="0.25">
      <c r="A182" s="10" t="s">
        <v>680</v>
      </c>
      <c r="B182" s="11">
        <v>82.899999999999991</v>
      </c>
    </row>
    <row r="183" spans="1:2" x14ac:dyDescent="0.25">
      <c r="A183" s="10" t="s">
        <v>219</v>
      </c>
      <c r="B183" s="11">
        <v>84.2</v>
      </c>
    </row>
    <row r="184" spans="1:2" x14ac:dyDescent="0.25">
      <c r="A184" s="10" t="s">
        <v>1511</v>
      </c>
      <c r="B184" s="11">
        <v>81.8</v>
      </c>
    </row>
    <row r="185" spans="1:2" x14ac:dyDescent="0.25">
      <c r="A185" s="10" t="s">
        <v>949</v>
      </c>
      <c r="B185" s="11">
        <v>81.900000000000006</v>
      </c>
    </row>
    <row r="186" spans="1:2" x14ac:dyDescent="0.25">
      <c r="A186" s="10" t="s">
        <v>1117</v>
      </c>
      <c r="B186" s="11">
        <v>82.8</v>
      </c>
    </row>
    <row r="187" spans="1:2" x14ac:dyDescent="0.25">
      <c r="A187" s="10" t="s">
        <v>555</v>
      </c>
      <c r="B187" s="11">
        <v>83.100000000000009</v>
      </c>
    </row>
    <row r="188" spans="1:2" x14ac:dyDescent="0.25">
      <c r="A188" s="10" t="s">
        <v>800</v>
      </c>
      <c r="B188" s="11">
        <v>82.6</v>
      </c>
    </row>
    <row r="189" spans="1:2" x14ac:dyDescent="0.25">
      <c r="A189" s="10" t="s">
        <v>93</v>
      </c>
      <c r="B189" s="11">
        <v>83.3</v>
      </c>
    </row>
    <row r="190" spans="1:2" x14ac:dyDescent="0.25">
      <c r="A190" s="10" t="s">
        <v>497</v>
      </c>
      <c r="B190" s="11">
        <v>82.5</v>
      </c>
    </row>
    <row r="191" spans="1:2" x14ac:dyDescent="0.25">
      <c r="A191" s="10" t="s">
        <v>170</v>
      </c>
      <c r="B191" s="11">
        <v>83.59999999999998</v>
      </c>
    </row>
    <row r="192" spans="1:2" x14ac:dyDescent="0.25">
      <c r="A192" s="10" t="s">
        <v>1853</v>
      </c>
      <c r="B192" s="11">
        <v>81.299999999999969</v>
      </c>
    </row>
    <row r="193" spans="1:2" x14ac:dyDescent="0.25">
      <c r="A193" s="10" t="s">
        <v>2483</v>
      </c>
      <c r="B193" s="11">
        <v>82.200719424460345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Sheet1</vt:lpstr>
      <vt:lpstr>Sheet5</vt:lpstr>
      <vt:lpstr>Sheet4</vt:lpstr>
      <vt:lpstr>ROSELINE'S SHEET</vt:lpstr>
      <vt:lpstr>Table1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user</cp:lastModifiedBy>
  <dcterms:created xsi:type="dcterms:W3CDTF">2024-04-01T06:54:26Z</dcterms:created>
  <dcterms:modified xsi:type="dcterms:W3CDTF">2026-04-04T00:21:44Z</dcterms:modified>
</cp:coreProperties>
</file>